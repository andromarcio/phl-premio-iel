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ate1904="1" defaultThemeVersion="123820"/>
  <mc:AlternateContent xmlns:mc="http://schemas.openxmlformats.org/markup-compatibility/2006">
    <mc:Choice Requires="x15">
      <x15ac:absPath xmlns:x15ac="http://schemas.microsoft.com/office/spreadsheetml/2010/11/ac" url="/Users/andromarcio/Library/CloudStorage/GoogleDrive-shared@phlti.com.br/Meu Drive/3.Contagens/PIEL/"/>
    </mc:Choice>
  </mc:AlternateContent>
  <xr:revisionPtr revIDLastSave="0" documentId="13_ncr:1_{B64BAAC9-87C1-754C-9CB7-BA17D6884409}" xr6:coauthVersionLast="47" xr6:coauthVersionMax="47" xr10:uidLastSave="{00000000-0000-0000-0000-000000000000}"/>
  <bookViews>
    <workbookView xWindow="0" yWindow="800" windowWidth="34200" windowHeight="21440" tabRatio="683" activeTab="2" xr2:uid="{00000000-000D-0000-FFFF-FFFF00000000}"/>
  </bookViews>
  <sheets>
    <sheet name="Instrução de Uso" sheetId="1" r:id="rId1"/>
    <sheet name="Resumo" sheetId="2" r:id="rId2"/>
    <sheet name="AFP - Detalhada" sheetId="3" r:id="rId3"/>
    <sheet name="AFP - Estimativa" sheetId="4" r:id="rId4"/>
    <sheet name="AFP - INM" sheetId="5" state="hidden" r:id="rId5"/>
    <sheet name="UST" sheetId="6" state="hidden" r:id="rId6"/>
    <sheet name="AFP - Indicativa" sheetId="7" r:id="rId7"/>
    <sheet name="Fundamentação" sheetId="8" state="hidden" r:id="rId8"/>
    <sheet name="Redução de Prazo" sheetId="9" r:id="rId9"/>
    <sheet name="Esforço" sheetId="10" state="hidden" r:id="rId10"/>
    <sheet name="Tipo Projeto" sheetId="11" r:id="rId11"/>
    <sheet name="Tipo Sistema" sheetId="12" state="hidden" r:id="rId12"/>
  </sheets>
  <definedNames>
    <definedName name="INM">'Tipo Projeto'!$D$3:INDEX('Tipo Projeto'!$D$3:$D$108,COUNTIF('Tipo Projeto'!$D$3:$D$108,"?*"))</definedName>
    <definedName name="Matriz_INM">'Tipo Projeto'!$D$3:INDEX('Tipo Projeto'!$D$3:$D$108,COUNTIF('Tipo Projeto'!$D$3:$D$108,"?*"))</definedName>
    <definedName name="Matriz_UST">'Tipo Projeto'!#REF!:INDEX('Tipo Projeto'!#REF!,COUNTIF('Tipo Projeto'!#REF!,"?*"))</definedName>
    <definedName name="PF_INM">'AFP - INM'!$S$385</definedName>
    <definedName name="PF_UST">UST!$D$5</definedName>
    <definedName name="Tipo_Contagem">Resumo!$B$5</definedName>
    <definedName name="TipoProjeto">'Tipo Projeto'!$A$3:INDEX('Tipo Projeto'!$A$3:$A$109,COUNTIF('Tipo Projeto'!$A$3:$A$109,"?*"))</definedName>
    <definedName name="TipoSistema">'Tipo Sistema'!$A$2:$A$8</definedName>
    <definedName name="_xlnm.Print_Titles" localSheetId="2">'AFP - Detalhada'!$1:$9</definedName>
    <definedName name="_xlnm.Print_Titles" localSheetId="3">'AFP - Estimativa'!$1:$9</definedName>
    <definedName name="_xlnm.Print_Titles" localSheetId="6">'AFP - Indicativa'!$1:$9</definedName>
    <definedName name="_xlnm.Print_Titles" localSheetId="4">'AFP - INM'!$1:$9</definedName>
    <definedName name="_xlnm.Print_Titles" localSheetId="5">UST!$1:$9</definedName>
    <definedName name="UST">'Tipo Projeto'!#REF!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21" i="3" l="1"/>
  <c r="AF121" i="3"/>
  <c r="AE121" i="3"/>
  <c r="AG121" i="3" s="1"/>
  <c r="AH121" i="3" s="1"/>
  <c r="AJ121" i="3" s="1"/>
  <c r="AP121" i="3" s="1"/>
  <c r="Y121" i="3"/>
  <c r="Q121" i="3"/>
  <c r="N121" i="3"/>
  <c r="M121" i="3"/>
  <c r="O121" i="3" s="1"/>
  <c r="C121" i="3"/>
  <c r="AI120" i="3"/>
  <c r="AF120" i="3"/>
  <c r="AE120" i="3"/>
  <c r="AG120" i="3" s="1"/>
  <c r="AH120" i="3" s="1"/>
  <c r="AJ120" i="3" s="1"/>
  <c r="AP120" i="3" s="1"/>
  <c r="Y120" i="3"/>
  <c r="N120" i="3"/>
  <c r="Q120" i="3" s="1"/>
  <c r="M120" i="3"/>
  <c r="O120" i="3" s="1"/>
  <c r="C120" i="3"/>
  <c r="AI119" i="3"/>
  <c r="AF119" i="3"/>
  <c r="AE119" i="3"/>
  <c r="AG119" i="3" s="1"/>
  <c r="AH119" i="3" s="1"/>
  <c r="AJ119" i="3" s="1"/>
  <c r="AP119" i="3" s="1"/>
  <c r="Y119" i="3"/>
  <c r="N119" i="3"/>
  <c r="Q119" i="3" s="1"/>
  <c r="M119" i="3"/>
  <c r="O119" i="3" s="1"/>
  <c r="C119" i="3"/>
  <c r="AF148" i="3"/>
  <c r="AI148" i="3" s="1"/>
  <c r="AE148" i="3"/>
  <c r="AG148" i="3" s="1"/>
  <c r="AH148" i="3" s="1"/>
  <c r="Y148" i="3"/>
  <c r="N148" i="3"/>
  <c r="Q148" i="3" s="1"/>
  <c r="M148" i="3"/>
  <c r="O148" i="3" s="1"/>
  <c r="C148" i="3"/>
  <c r="R119" i="3" l="1"/>
  <c r="P119" i="3"/>
  <c r="S119" i="3" s="1"/>
  <c r="R120" i="3"/>
  <c r="P120" i="3"/>
  <c r="S120" i="3" s="1"/>
  <c r="R121" i="3"/>
  <c r="P121" i="3"/>
  <c r="S121" i="3" s="1"/>
  <c r="P148" i="3"/>
  <c r="S148" i="3" s="1"/>
  <c r="R148" i="3"/>
  <c r="AJ148" i="3"/>
  <c r="AP148" i="3" s="1"/>
  <c r="AF172" i="3"/>
  <c r="AI172" i="3" s="1"/>
  <c r="AE172" i="3"/>
  <c r="Y172" i="3"/>
  <c r="N172" i="3"/>
  <c r="Q172" i="3" s="1"/>
  <c r="M172" i="3"/>
  <c r="O172" i="3" s="1"/>
  <c r="C172" i="3"/>
  <c r="AF171" i="3"/>
  <c r="AI171" i="3" s="1"/>
  <c r="AE171" i="3"/>
  <c r="Y171" i="3"/>
  <c r="N171" i="3"/>
  <c r="Q171" i="3" s="1"/>
  <c r="M171" i="3"/>
  <c r="C171" i="3"/>
  <c r="AF170" i="3"/>
  <c r="AI170" i="3" s="1"/>
  <c r="AE170" i="3"/>
  <c r="Y170" i="3"/>
  <c r="N170" i="3"/>
  <c r="Q170" i="3" s="1"/>
  <c r="M170" i="3"/>
  <c r="C170" i="3"/>
  <c r="AF169" i="3"/>
  <c r="AI169" i="3" s="1"/>
  <c r="AE169" i="3"/>
  <c r="Y169" i="3"/>
  <c r="N169" i="3"/>
  <c r="Q169" i="3" s="1"/>
  <c r="M169" i="3"/>
  <c r="C169" i="3"/>
  <c r="AF168" i="3"/>
  <c r="AI168" i="3" s="1"/>
  <c r="AE168" i="3"/>
  <c r="Y168" i="3"/>
  <c r="N168" i="3"/>
  <c r="Q168" i="3" s="1"/>
  <c r="M168" i="3"/>
  <c r="O168" i="3" s="1"/>
  <c r="C168" i="3"/>
  <c r="AF167" i="3"/>
  <c r="AI167" i="3" s="1"/>
  <c r="AE167" i="3"/>
  <c r="Y167" i="3"/>
  <c r="N167" i="3"/>
  <c r="Q167" i="3" s="1"/>
  <c r="M167" i="3"/>
  <c r="O167" i="3" s="1"/>
  <c r="C167" i="3"/>
  <c r="AF166" i="3"/>
  <c r="AI166" i="3" s="1"/>
  <c r="AE166" i="3"/>
  <c r="Y166" i="3"/>
  <c r="N166" i="3"/>
  <c r="Q166" i="3" s="1"/>
  <c r="M166" i="3"/>
  <c r="C166" i="3"/>
  <c r="AF165" i="3"/>
  <c r="AI165" i="3" s="1"/>
  <c r="AE165" i="3"/>
  <c r="Y165" i="3"/>
  <c r="N165" i="3"/>
  <c r="Q165" i="3" s="1"/>
  <c r="M165" i="3"/>
  <c r="C165" i="3"/>
  <c r="AF164" i="3"/>
  <c r="AI164" i="3" s="1"/>
  <c r="AE164" i="3"/>
  <c r="Y164" i="3"/>
  <c r="N164" i="3"/>
  <c r="Q164" i="3" s="1"/>
  <c r="M164" i="3"/>
  <c r="O164" i="3" s="1"/>
  <c r="C164" i="3"/>
  <c r="AF163" i="3"/>
  <c r="AI163" i="3" s="1"/>
  <c r="AE163" i="3"/>
  <c r="Y163" i="3"/>
  <c r="N163" i="3"/>
  <c r="Q163" i="3" s="1"/>
  <c r="M163" i="3"/>
  <c r="C163" i="3"/>
  <c r="AF162" i="3"/>
  <c r="AI162" i="3" s="1"/>
  <c r="AE162" i="3"/>
  <c r="Y162" i="3"/>
  <c r="N162" i="3"/>
  <c r="Q162" i="3" s="1"/>
  <c r="M162" i="3"/>
  <c r="C162" i="3"/>
  <c r="AF161" i="3"/>
  <c r="AI161" i="3" s="1"/>
  <c r="AE161" i="3"/>
  <c r="Y161" i="3"/>
  <c r="N161" i="3"/>
  <c r="Q161" i="3" s="1"/>
  <c r="M161" i="3"/>
  <c r="C161" i="3"/>
  <c r="AF160" i="3"/>
  <c r="AI160" i="3" s="1"/>
  <c r="AE160" i="3"/>
  <c r="Y160" i="3"/>
  <c r="N160" i="3"/>
  <c r="Q160" i="3" s="1"/>
  <c r="M160" i="3"/>
  <c r="O160" i="3" s="1"/>
  <c r="C160" i="3"/>
  <c r="AF159" i="3"/>
  <c r="AI159" i="3" s="1"/>
  <c r="AE159" i="3"/>
  <c r="Y159" i="3"/>
  <c r="N159" i="3"/>
  <c r="Q159" i="3" s="1"/>
  <c r="M159" i="3"/>
  <c r="O159" i="3" s="1"/>
  <c r="C159" i="3"/>
  <c r="AF158" i="3"/>
  <c r="AI158" i="3" s="1"/>
  <c r="AE158" i="3"/>
  <c r="Y158" i="3"/>
  <c r="N158" i="3"/>
  <c r="Q158" i="3" s="1"/>
  <c r="M158" i="3"/>
  <c r="C158" i="3"/>
  <c r="AF157" i="3"/>
  <c r="AI157" i="3" s="1"/>
  <c r="AE157" i="3"/>
  <c r="Y157" i="3"/>
  <c r="N157" i="3"/>
  <c r="Q157" i="3" s="1"/>
  <c r="M157" i="3"/>
  <c r="C157" i="3"/>
  <c r="AF156" i="3"/>
  <c r="AI156" i="3" s="1"/>
  <c r="AE156" i="3"/>
  <c r="AG156" i="3" s="1"/>
  <c r="AH156" i="3" s="1"/>
  <c r="AJ156" i="3" s="1"/>
  <c r="AP156" i="3" s="1"/>
  <c r="Y156" i="3"/>
  <c r="N156" i="3"/>
  <c r="Q156" i="3" s="1"/>
  <c r="M156" i="3"/>
  <c r="O156" i="3" s="1"/>
  <c r="C156" i="3"/>
  <c r="AF155" i="3"/>
  <c r="AI155" i="3" s="1"/>
  <c r="AE155" i="3"/>
  <c r="Y155" i="3"/>
  <c r="Q155" i="3"/>
  <c r="N155" i="3"/>
  <c r="M155" i="3"/>
  <c r="C155" i="3"/>
  <c r="AF154" i="3"/>
  <c r="AI154" i="3" s="1"/>
  <c r="AE154" i="3"/>
  <c r="Y154" i="3"/>
  <c r="N154" i="3"/>
  <c r="Q154" i="3" s="1"/>
  <c r="M154" i="3"/>
  <c r="C154" i="3"/>
  <c r="AF153" i="3"/>
  <c r="AE153" i="3"/>
  <c r="Y153" i="3"/>
  <c r="N153" i="3"/>
  <c r="Q153" i="3" s="1"/>
  <c r="M153" i="3"/>
  <c r="C153" i="3"/>
  <c r="AF118" i="3"/>
  <c r="AI118" i="3" s="1"/>
  <c r="AE118" i="3"/>
  <c r="Y118" i="3"/>
  <c r="N118" i="3"/>
  <c r="Q118" i="3" s="1"/>
  <c r="M118" i="3"/>
  <c r="C118" i="3"/>
  <c r="AF117" i="3"/>
  <c r="AI117" i="3" s="1"/>
  <c r="AE117" i="3"/>
  <c r="Y117" i="3"/>
  <c r="N117" i="3"/>
  <c r="Q117" i="3" s="1"/>
  <c r="M117" i="3"/>
  <c r="C117" i="3"/>
  <c r="AF116" i="3"/>
  <c r="AI116" i="3" s="1"/>
  <c r="AE116" i="3"/>
  <c r="Y116" i="3"/>
  <c r="N116" i="3"/>
  <c r="M116" i="3"/>
  <c r="C116" i="3"/>
  <c r="AF143" i="3"/>
  <c r="AI143" i="3" s="1"/>
  <c r="AE143" i="3"/>
  <c r="Y143" i="3"/>
  <c r="N143" i="3"/>
  <c r="Q143" i="3" s="1"/>
  <c r="M143" i="3"/>
  <c r="C143" i="3"/>
  <c r="AF142" i="3"/>
  <c r="AI142" i="3" s="1"/>
  <c r="AE142" i="3"/>
  <c r="Y142" i="3"/>
  <c r="N142" i="3"/>
  <c r="Q142" i="3" s="1"/>
  <c r="M142" i="3"/>
  <c r="C142" i="3"/>
  <c r="AF141" i="3"/>
  <c r="AI141" i="3" s="1"/>
  <c r="AE141" i="3"/>
  <c r="Y141" i="3"/>
  <c r="N141" i="3"/>
  <c r="Q141" i="3" s="1"/>
  <c r="M141" i="3"/>
  <c r="C141" i="3"/>
  <c r="AF140" i="3"/>
  <c r="AI140" i="3" s="1"/>
  <c r="AE140" i="3"/>
  <c r="Y140" i="3"/>
  <c r="N140" i="3"/>
  <c r="Q140" i="3" s="1"/>
  <c r="M140" i="3"/>
  <c r="C140" i="3"/>
  <c r="AF139" i="3"/>
  <c r="AI139" i="3" s="1"/>
  <c r="AE139" i="3"/>
  <c r="Y139" i="3"/>
  <c r="N139" i="3"/>
  <c r="Q139" i="3" s="1"/>
  <c r="M139" i="3"/>
  <c r="C139" i="3"/>
  <c r="AF138" i="3"/>
  <c r="AI138" i="3" s="1"/>
  <c r="AE138" i="3"/>
  <c r="Y138" i="3"/>
  <c r="N138" i="3"/>
  <c r="Q138" i="3" s="1"/>
  <c r="M138" i="3"/>
  <c r="C138" i="3"/>
  <c r="AF137" i="3"/>
  <c r="AI137" i="3" s="1"/>
  <c r="AE137" i="3"/>
  <c r="Y137" i="3"/>
  <c r="N137" i="3"/>
  <c r="Q137" i="3" s="1"/>
  <c r="M137" i="3"/>
  <c r="C137" i="3"/>
  <c r="AF136" i="3"/>
  <c r="AI136" i="3" s="1"/>
  <c r="AE136" i="3"/>
  <c r="Y136" i="3"/>
  <c r="N136" i="3"/>
  <c r="Q136" i="3" s="1"/>
  <c r="M136" i="3"/>
  <c r="C136" i="3"/>
  <c r="AF135" i="3"/>
  <c r="AI135" i="3" s="1"/>
  <c r="AE135" i="3"/>
  <c r="Y135" i="3"/>
  <c r="N135" i="3"/>
  <c r="Q135" i="3" s="1"/>
  <c r="M135" i="3"/>
  <c r="C135" i="3"/>
  <c r="AF134" i="3"/>
  <c r="AI134" i="3" s="1"/>
  <c r="AE134" i="3"/>
  <c r="Y134" i="3"/>
  <c r="N134" i="3"/>
  <c r="Q134" i="3" s="1"/>
  <c r="M134" i="3"/>
  <c r="C134" i="3"/>
  <c r="AF133" i="3"/>
  <c r="AI133" i="3" s="1"/>
  <c r="AE133" i="3"/>
  <c r="Y133" i="3"/>
  <c r="N133" i="3"/>
  <c r="Q133" i="3" s="1"/>
  <c r="M133" i="3"/>
  <c r="C133" i="3"/>
  <c r="AF152" i="3"/>
  <c r="AI152" i="3" s="1"/>
  <c r="AE152" i="3"/>
  <c r="Y152" i="3"/>
  <c r="N152" i="3"/>
  <c r="Q152" i="3" s="1"/>
  <c r="M152" i="3"/>
  <c r="C152" i="3"/>
  <c r="AF151" i="3"/>
  <c r="AI151" i="3" s="1"/>
  <c r="AE151" i="3"/>
  <c r="Y151" i="3"/>
  <c r="N151" i="3"/>
  <c r="Q151" i="3" s="1"/>
  <c r="M151" i="3"/>
  <c r="C151" i="3"/>
  <c r="AF150" i="3"/>
  <c r="AI150" i="3" s="1"/>
  <c r="AE150" i="3"/>
  <c r="Y150" i="3"/>
  <c r="N150" i="3"/>
  <c r="Q150" i="3" s="1"/>
  <c r="M150" i="3"/>
  <c r="C150" i="3"/>
  <c r="AF149" i="3"/>
  <c r="AI149" i="3" s="1"/>
  <c r="AE149" i="3"/>
  <c r="Y149" i="3"/>
  <c r="N149" i="3"/>
  <c r="Q149" i="3" s="1"/>
  <c r="M149" i="3"/>
  <c r="C149" i="3"/>
  <c r="AF147" i="3"/>
  <c r="AI147" i="3" s="1"/>
  <c r="AE147" i="3"/>
  <c r="Y147" i="3"/>
  <c r="N147" i="3"/>
  <c r="Q147" i="3" s="1"/>
  <c r="M147" i="3"/>
  <c r="C147" i="3"/>
  <c r="AF146" i="3"/>
  <c r="AI146" i="3" s="1"/>
  <c r="AE146" i="3"/>
  <c r="Y146" i="3"/>
  <c r="N146" i="3"/>
  <c r="Q146" i="3" s="1"/>
  <c r="M146" i="3"/>
  <c r="C146" i="3"/>
  <c r="AF145" i="3"/>
  <c r="AI145" i="3" s="1"/>
  <c r="AE145" i="3"/>
  <c r="Y145" i="3"/>
  <c r="N145" i="3"/>
  <c r="Q145" i="3" s="1"/>
  <c r="M145" i="3"/>
  <c r="C145" i="3"/>
  <c r="AF144" i="3"/>
  <c r="AI144" i="3" s="1"/>
  <c r="AE144" i="3"/>
  <c r="Y144" i="3"/>
  <c r="N144" i="3"/>
  <c r="Q144" i="3" s="1"/>
  <c r="M144" i="3"/>
  <c r="C144" i="3"/>
  <c r="AF132" i="3"/>
  <c r="AI132" i="3" s="1"/>
  <c r="AE132" i="3"/>
  <c r="Y132" i="3"/>
  <c r="N132" i="3"/>
  <c r="Q132" i="3" s="1"/>
  <c r="M132" i="3"/>
  <c r="C132" i="3"/>
  <c r="AF131" i="3"/>
  <c r="AI131" i="3" s="1"/>
  <c r="AE131" i="3"/>
  <c r="Y131" i="3"/>
  <c r="N131" i="3"/>
  <c r="Q131" i="3" s="1"/>
  <c r="M131" i="3"/>
  <c r="C131" i="3"/>
  <c r="AF130" i="3"/>
  <c r="AI130" i="3" s="1"/>
  <c r="AE130" i="3"/>
  <c r="Y130" i="3"/>
  <c r="N130" i="3"/>
  <c r="Q130" i="3" s="1"/>
  <c r="M130" i="3"/>
  <c r="C130" i="3"/>
  <c r="AF129" i="3"/>
  <c r="AI129" i="3" s="1"/>
  <c r="AE129" i="3"/>
  <c r="Y129" i="3"/>
  <c r="N129" i="3"/>
  <c r="Q129" i="3" s="1"/>
  <c r="M129" i="3"/>
  <c r="C129" i="3"/>
  <c r="AF128" i="3"/>
  <c r="AI128" i="3" s="1"/>
  <c r="AE128" i="3"/>
  <c r="Y128" i="3"/>
  <c r="N128" i="3"/>
  <c r="Q128" i="3" s="1"/>
  <c r="M128" i="3"/>
  <c r="C128" i="3"/>
  <c r="AF127" i="3"/>
  <c r="AI127" i="3" s="1"/>
  <c r="AE127" i="3"/>
  <c r="Y127" i="3"/>
  <c r="N127" i="3"/>
  <c r="Q127" i="3" s="1"/>
  <c r="M127" i="3"/>
  <c r="C127" i="3"/>
  <c r="AF126" i="3"/>
  <c r="AI126" i="3" s="1"/>
  <c r="AE126" i="3"/>
  <c r="Y126" i="3"/>
  <c r="N126" i="3"/>
  <c r="Q126" i="3" s="1"/>
  <c r="M126" i="3"/>
  <c r="C126" i="3"/>
  <c r="AF125" i="3"/>
  <c r="AI125" i="3" s="1"/>
  <c r="AE125" i="3"/>
  <c r="Y125" i="3"/>
  <c r="N125" i="3"/>
  <c r="Q125" i="3" s="1"/>
  <c r="M125" i="3"/>
  <c r="C125" i="3"/>
  <c r="AF47" i="3"/>
  <c r="AI47" i="3" s="1"/>
  <c r="AE47" i="3"/>
  <c r="Y47" i="3"/>
  <c r="N47" i="3"/>
  <c r="Q47" i="3" s="1"/>
  <c r="M47" i="3"/>
  <c r="C47" i="3"/>
  <c r="AF46" i="3"/>
  <c r="AI46" i="3" s="1"/>
  <c r="AE46" i="3"/>
  <c r="Y46" i="3"/>
  <c r="N46" i="3"/>
  <c r="Q46" i="3" s="1"/>
  <c r="M46" i="3"/>
  <c r="C46" i="3"/>
  <c r="AF45" i="3"/>
  <c r="AI45" i="3" s="1"/>
  <c r="AE45" i="3"/>
  <c r="Y45" i="3"/>
  <c r="N45" i="3"/>
  <c r="Q45" i="3" s="1"/>
  <c r="M45" i="3"/>
  <c r="C45" i="3"/>
  <c r="AF60" i="3"/>
  <c r="AI60" i="3" s="1"/>
  <c r="AE60" i="3"/>
  <c r="Y60" i="3"/>
  <c r="N60" i="3"/>
  <c r="Q60" i="3" s="1"/>
  <c r="M60" i="3"/>
  <c r="C60" i="3"/>
  <c r="AF58" i="3"/>
  <c r="AI58" i="3" s="1"/>
  <c r="AE58" i="3"/>
  <c r="Y58" i="3"/>
  <c r="N58" i="3"/>
  <c r="Q58" i="3" s="1"/>
  <c r="M58" i="3"/>
  <c r="C58" i="3"/>
  <c r="AF55" i="3"/>
  <c r="AI55" i="3" s="1"/>
  <c r="AE55" i="3"/>
  <c r="Y55" i="3"/>
  <c r="N55" i="3"/>
  <c r="Q55" i="3" s="1"/>
  <c r="M55" i="3"/>
  <c r="C55" i="3"/>
  <c r="AF54" i="3"/>
  <c r="AI54" i="3" s="1"/>
  <c r="AE54" i="3"/>
  <c r="Y54" i="3"/>
  <c r="N54" i="3"/>
  <c r="Q54" i="3" s="1"/>
  <c r="M54" i="3"/>
  <c r="C54" i="3"/>
  <c r="AF53" i="3"/>
  <c r="AI53" i="3" s="1"/>
  <c r="AE53" i="3"/>
  <c r="Y53" i="3"/>
  <c r="N53" i="3"/>
  <c r="Q53" i="3" s="1"/>
  <c r="M53" i="3"/>
  <c r="C53" i="3"/>
  <c r="AF122" i="3"/>
  <c r="AI122" i="3" s="1"/>
  <c r="AE122" i="3"/>
  <c r="Y122" i="3"/>
  <c r="N122" i="3"/>
  <c r="Q122" i="3" s="1"/>
  <c r="M122" i="3"/>
  <c r="C122" i="3"/>
  <c r="AF100" i="3"/>
  <c r="AI100" i="3" s="1"/>
  <c r="AE100" i="3"/>
  <c r="Y100" i="3"/>
  <c r="N100" i="3"/>
  <c r="Q100" i="3" s="1"/>
  <c r="M100" i="3"/>
  <c r="C100" i="3"/>
  <c r="AF174" i="3"/>
  <c r="AI174" i="3" s="1"/>
  <c r="AE174" i="3"/>
  <c r="Y174" i="3"/>
  <c r="N174" i="3"/>
  <c r="Q174" i="3" s="1"/>
  <c r="M174" i="3"/>
  <c r="C174" i="3"/>
  <c r="AF173" i="3"/>
  <c r="AI173" i="3" s="1"/>
  <c r="AE173" i="3"/>
  <c r="Y173" i="3"/>
  <c r="N173" i="3"/>
  <c r="Q173" i="3" s="1"/>
  <c r="M173" i="3"/>
  <c r="C173" i="3"/>
  <c r="AF124" i="3"/>
  <c r="AI124" i="3" s="1"/>
  <c r="AE124" i="3"/>
  <c r="Y124" i="3"/>
  <c r="N124" i="3"/>
  <c r="Q124" i="3" s="1"/>
  <c r="M124" i="3"/>
  <c r="C124" i="3"/>
  <c r="AF123" i="3"/>
  <c r="AI123" i="3" s="1"/>
  <c r="AE123" i="3"/>
  <c r="Y123" i="3"/>
  <c r="N123" i="3"/>
  <c r="Q123" i="3" s="1"/>
  <c r="M123" i="3"/>
  <c r="C123" i="3"/>
  <c r="AF115" i="3"/>
  <c r="AI115" i="3" s="1"/>
  <c r="AE115" i="3"/>
  <c r="Y115" i="3"/>
  <c r="N115" i="3"/>
  <c r="Q115" i="3" s="1"/>
  <c r="M115" i="3"/>
  <c r="C115" i="3"/>
  <c r="AF114" i="3"/>
  <c r="AI114" i="3" s="1"/>
  <c r="AE114" i="3"/>
  <c r="Y114" i="3"/>
  <c r="N114" i="3"/>
  <c r="Q114" i="3" s="1"/>
  <c r="M114" i="3"/>
  <c r="C114" i="3"/>
  <c r="AF113" i="3"/>
  <c r="AI113" i="3" s="1"/>
  <c r="AE113" i="3"/>
  <c r="Y113" i="3"/>
  <c r="N113" i="3"/>
  <c r="Q113" i="3" s="1"/>
  <c r="M113" i="3"/>
  <c r="C113" i="3"/>
  <c r="AF112" i="3"/>
  <c r="AI112" i="3" s="1"/>
  <c r="AE112" i="3"/>
  <c r="Y112" i="3"/>
  <c r="N112" i="3"/>
  <c r="Q112" i="3" s="1"/>
  <c r="M112" i="3"/>
  <c r="C112" i="3"/>
  <c r="AF111" i="3"/>
  <c r="AI111" i="3" s="1"/>
  <c r="AE111" i="3"/>
  <c r="Y111" i="3"/>
  <c r="N111" i="3"/>
  <c r="Q111" i="3" s="1"/>
  <c r="M111" i="3"/>
  <c r="C111" i="3"/>
  <c r="AF110" i="3"/>
  <c r="AI110" i="3" s="1"/>
  <c r="AE110" i="3"/>
  <c r="Y110" i="3"/>
  <c r="N110" i="3"/>
  <c r="Q110" i="3" s="1"/>
  <c r="M110" i="3"/>
  <c r="C110" i="3"/>
  <c r="AF109" i="3"/>
  <c r="AI109" i="3" s="1"/>
  <c r="AE109" i="3"/>
  <c r="Y109" i="3"/>
  <c r="N109" i="3"/>
  <c r="Q109" i="3" s="1"/>
  <c r="M109" i="3"/>
  <c r="C109" i="3"/>
  <c r="AF108" i="3"/>
  <c r="AI108" i="3" s="1"/>
  <c r="AE108" i="3"/>
  <c r="Y108" i="3"/>
  <c r="N108" i="3"/>
  <c r="Q108" i="3" s="1"/>
  <c r="M108" i="3"/>
  <c r="C108" i="3"/>
  <c r="AF107" i="3"/>
  <c r="AI107" i="3" s="1"/>
  <c r="AE107" i="3"/>
  <c r="Y107" i="3"/>
  <c r="N107" i="3"/>
  <c r="Q107" i="3" s="1"/>
  <c r="M107" i="3"/>
  <c r="C107" i="3"/>
  <c r="AF106" i="3"/>
  <c r="AI106" i="3" s="1"/>
  <c r="AE106" i="3"/>
  <c r="Y106" i="3"/>
  <c r="N106" i="3"/>
  <c r="Q106" i="3" s="1"/>
  <c r="M106" i="3"/>
  <c r="C106" i="3"/>
  <c r="AF105" i="3"/>
  <c r="AI105" i="3" s="1"/>
  <c r="AE105" i="3"/>
  <c r="Y105" i="3"/>
  <c r="N105" i="3"/>
  <c r="Q105" i="3" s="1"/>
  <c r="M105" i="3"/>
  <c r="C105" i="3"/>
  <c r="AF104" i="3"/>
  <c r="AI104" i="3" s="1"/>
  <c r="AE104" i="3"/>
  <c r="Y104" i="3"/>
  <c r="N104" i="3"/>
  <c r="Q104" i="3" s="1"/>
  <c r="M104" i="3"/>
  <c r="C104" i="3"/>
  <c r="AF103" i="3"/>
  <c r="AI103" i="3" s="1"/>
  <c r="AE103" i="3"/>
  <c r="Y103" i="3"/>
  <c r="N103" i="3"/>
  <c r="Q103" i="3" s="1"/>
  <c r="M103" i="3"/>
  <c r="C103" i="3"/>
  <c r="AF102" i="3"/>
  <c r="AI102" i="3" s="1"/>
  <c r="AE102" i="3"/>
  <c r="Y102" i="3"/>
  <c r="N102" i="3"/>
  <c r="Q102" i="3" s="1"/>
  <c r="M102" i="3"/>
  <c r="C102" i="3"/>
  <c r="AF101" i="3"/>
  <c r="AI101" i="3" s="1"/>
  <c r="AE101" i="3"/>
  <c r="Y101" i="3"/>
  <c r="N101" i="3"/>
  <c r="Q101" i="3" s="1"/>
  <c r="M101" i="3"/>
  <c r="C101" i="3"/>
  <c r="AF99" i="3"/>
  <c r="AI99" i="3" s="1"/>
  <c r="AE99" i="3"/>
  <c r="Y99" i="3"/>
  <c r="N99" i="3"/>
  <c r="Q99" i="3" s="1"/>
  <c r="M99" i="3"/>
  <c r="C99" i="3"/>
  <c r="AF98" i="3"/>
  <c r="AI98" i="3" s="1"/>
  <c r="AE98" i="3"/>
  <c r="Y98" i="3"/>
  <c r="N98" i="3"/>
  <c r="Q98" i="3" s="1"/>
  <c r="M98" i="3"/>
  <c r="C98" i="3"/>
  <c r="AF97" i="3"/>
  <c r="AE97" i="3"/>
  <c r="Y97" i="3"/>
  <c r="N97" i="3"/>
  <c r="Q97" i="3" s="1"/>
  <c r="M97" i="3"/>
  <c r="C97" i="3"/>
  <c r="AF96" i="3"/>
  <c r="AI96" i="3" s="1"/>
  <c r="AE96" i="3"/>
  <c r="Y96" i="3"/>
  <c r="N96" i="3"/>
  <c r="Q96" i="3" s="1"/>
  <c r="M96" i="3"/>
  <c r="C96" i="3"/>
  <c r="O163" i="3" l="1"/>
  <c r="R163" i="3" s="1"/>
  <c r="O155" i="3"/>
  <c r="P155" i="3" s="1"/>
  <c r="AG157" i="3"/>
  <c r="AH157" i="3" s="1"/>
  <c r="AG161" i="3"/>
  <c r="AH161" i="3" s="1"/>
  <c r="AG165" i="3"/>
  <c r="AH165" i="3" s="1"/>
  <c r="AG154" i="3"/>
  <c r="AH154" i="3" s="1"/>
  <c r="AG159" i="3"/>
  <c r="AH159" i="3" s="1"/>
  <c r="AJ159" i="3" s="1"/>
  <c r="AP159" i="3" s="1"/>
  <c r="AG163" i="3"/>
  <c r="AH163" i="3" s="1"/>
  <c r="AJ163" i="3" s="1"/>
  <c r="AP163" i="3" s="1"/>
  <c r="AG167" i="3"/>
  <c r="AH167" i="3" s="1"/>
  <c r="AJ167" i="3" s="1"/>
  <c r="AP167" i="3" s="1"/>
  <c r="AG171" i="3"/>
  <c r="AH171" i="3" s="1"/>
  <c r="AG169" i="3"/>
  <c r="AH169" i="3" s="1"/>
  <c r="O170" i="3"/>
  <c r="AJ157" i="3"/>
  <c r="AP157" i="3" s="1"/>
  <c r="AJ161" i="3"/>
  <c r="AP161" i="3" s="1"/>
  <c r="AJ165" i="3"/>
  <c r="AP165" i="3" s="1"/>
  <c r="AJ169" i="3"/>
  <c r="AP169" i="3" s="1"/>
  <c r="O171" i="3"/>
  <c r="R171" i="3" s="1"/>
  <c r="AG160" i="3"/>
  <c r="AH160" i="3" s="1"/>
  <c r="AJ160" i="3" s="1"/>
  <c r="AP160" i="3" s="1"/>
  <c r="AG164" i="3"/>
  <c r="AH164" i="3" s="1"/>
  <c r="AJ164" i="3" s="1"/>
  <c r="AP164" i="3" s="1"/>
  <c r="AG168" i="3"/>
  <c r="AH168" i="3" s="1"/>
  <c r="AJ168" i="3" s="1"/>
  <c r="AP168" i="3" s="1"/>
  <c r="AG172" i="3"/>
  <c r="AH172" i="3" s="1"/>
  <c r="AJ172" i="3" s="1"/>
  <c r="AP172" i="3" s="1"/>
  <c r="O162" i="3"/>
  <c r="R162" i="3" s="1"/>
  <c r="O166" i="3"/>
  <c r="R166" i="3" s="1"/>
  <c r="AJ171" i="3"/>
  <c r="AP171" i="3" s="1"/>
  <c r="O157" i="3"/>
  <c r="P157" i="3" s="1"/>
  <c r="S157" i="3" s="1"/>
  <c r="O161" i="3"/>
  <c r="P161" i="3" s="1"/>
  <c r="S161" i="3" s="1"/>
  <c r="O165" i="3"/>
  <c r="R165" i="3" s="1"/>
  <c r="O169" i="3"/>
  <c r="R169" i="3" s="1"/>
  <c r="AG158" i="3"/>
  <c r="AH158" i="3" s="1"/>
  <c r="AJ158" i="3" s="1"/>
  <c r="AP158" i="3" s="1"/>
  <c r="AG162" i="3"/>
  <c r="AH162" i="3" s="1"/>
  <c r="AJ162" i="3" s="1"/>
  <c r="AP162" i="3" s="1"/>
  <c r="AG166" i="3"/>
  <c r="AH166" i="3" s="1"/>
  <c r="AJ166" i="3" s="1"/>
  <c r="AP166" i="3" s="1"/>
  <c r="AG170" i="3"/>
  <c r="AH170" i="3" s="1"/>
  <c r="AJ170" i="3" s="1"/>
  <c r="AP170" i="3" s="1"/>
  <c r="O158" i="3"/>
  <c r="P158" i="3" s="1"/>
  <c r="S158" i="3" s="1"/>
  <c r="R157" i="3"/>
  <c r="R160" i="3"/>
  <c r="P160" i="3"/>
  <c r="S160" i="3" s="1"/>
  <c r="R168" i="3"/>
  <c r="P168" i="3"/>
  <c r="S168" i="3" s="1"/>
  <c r="R172" i="3"/>
  <c r="P172" i="3"/>
  <c r="S172" i="3" s="1"/>
  <c r="R159" i="3"/>
  <c r="P159" i="3"/>
  <c r="S159" i="3" s="1"/>
  <c r="P163" i="3"/>
  <c r="S163" i="3" s="1"/>
  <c r="R167" i="3"/>
  <c r="P167" i="3"/>
  <c r="S167" i="3" s="1"/>
  <c r="P171" i="3"/>
  <c r="S171" i="3" s="1"/>
  <c r="R156" i="3"/>
  <c r="P156" i="3"/>
  <c r="S156" i="3" s="1"/>
  <c r="R164" i="3"/>
  <c r="P164" i="3"/>
  <c r="S164" i="3" s="1"/>
  <c r="R158" i="3"/>
  <c r="P162" i="3"/>
  <c r="S162" i="3" s="1"/>
  <c r="R170" i="3"/>
  <c r="P170" i="3"/>
  <c r="S170" i="3" s="1"/>
  <c r="AG153" i="3"/>
  <c r="AH153" i="3" s="1"/>
  <c r="S155" i="3"/>
  <c r="O154" i="3"/>
  <c r="R154" i="3" s="1"/>
  <c r="AJ154" i="3"/>
  <c r="AP154" i="3" s="1"/>
  <c r="O153" i="3"/>
  <c r="R153" i="3" s="1"/>
  <c r="AG155" i="3"/>
  <c r="AH155" i="3" s="1"/>
  <c r="AJ155" i="3" s="1"/>
  <c r="AP155" i="3" s="1"/>
  <c r="AG150" i="3"/>
  <c r="AH150" i="3" s="1"/>
  <c r="AJ150" i="3" s="1"/>
  <c r="AP150" i="3" s="1"/>
  <c r="AG117" i="3"/>
  <c r="AH117" i="3" s="1"/>
  <c r="AJ117" i="3" s="1"/>
  <c r="AP117" i="3" s="1"/>
  <c r="AI153" i="3"/>
  <c r="R155" i="3"/>
  <c r="AG118" i="3"/>
  <c r="AH118" i="3" s="1"/>
  <c r="AJ118" i="3" s="1"/>
  <c r="AP118" i="3" s="1"/>
  <c r="P153" i="3"/>
  <c r="S153" i="3" s="1"/>
  <c r="O130" i="3"/>
  <c r="R130" i="3" s="1"/>
  <c r="O152" i="3"/>
  <c r="R152" i="3" s="1"/>
  <c r="O135" i="3"/>
  <c r="R135" i="3" s="1"/>
  <c r="O138" i="3"/>
  <c r="R138" i="3" s="1"/>
  <c r="O142" i="3"/>
  <c r="R142" i="3" s="1"/>
  <c r="O118" i="3"/>
  <c r="P118" i="3" s="1"/>
  <c r="S118" i="3" s="1"/>
  <c r="AG129" i="3"/>
  <c r="AH129" i="3" s="1"/>
  <c r="AJ129" i="3" s="1"/>
  <c r="AP129" i="3" s="1"/>
  <c r="O151" i="3"/>
  <c r="P151" i="3" s="1"/>
  <c r="S151" i="3" s="1"/>
  <c r="O134" i="3"/>
  <c r="R134" i="3" s="1"/>
  <c r="AG146" i="3"/>
  <c r="AH146" i="3" s="1"/>
  <c r="AJ146" i="3" s="1"/>
  <c r="AP146" i="3" s="1"/>
  <c r="O133" i="3"/>
  <c r="P133" i="3" s="1"/>
  <c r="S133" i="3" s="1"/>
  <c r="O140" i="3"/>
  <c r="R140" i="3" s="1"/>
  <c r="AG116" i="3"/>
  <c r="AH116" i="3" s="1"/>
  <c r="AJ116" i="3" s="1"/>
  <c r="AP116" i="3" s="1"/>
  <c r="AG152" i="3"/>
  <c r="AH152" i="3" s="1"/>
  <c r="AJ152" i="3" s="1"/>
  <c r="AP152" i="3" s="1"/>
  <c r="AG135" i="3"/>
  <c r="AH135" i="3" s="1"/>
  <c r="AJ135" i="3" s="1"/>
  <c r="AP135" i="3" s="1"/>
  <c r="AG138" i="3"/>
  <c r="AH138" i="3" s="1"/>
  <c r="AJ138" i="3" s="1"/>
  <c r="AP138" i="3" s="1"/>
  <c r="O117" i="3"/>
  <c r="R117" i="3" s="1"/>
  <c r="AG131" i="3"/>
  <c r="AH131" i="3" s="1"/>
  <c r="AJ131" i="3" s="1"/>
  <c r="AP131" i="3" s="1"/>
  <c r="O149" i="3"/>
  <c r="R149" i="3" s="1"/>
  <c r="O147" i="3"/>
  <c r="R147" i="3" s="1"/>
  <c r="AG142" i="3"/>
  <c r="AH142" i="3" s="1"/>
  <c r="AJ142" i="3" s="1"/>
  <c r="AP142" i="3" s="1"/>
  <c r="O129" i="3"/>
  <c r="P129" i="3" s="1"/>
  <c r="S129" i="3" s="1"/>
  <c r="AG151" i="3"/>
  <c r="AH151" i="3" s="1"/>
  <c r="AJ151" i="3" s="1"/>
  <c r="AP151" i="3" s="1"/>
  <c r="AG144" i="3"/>
  <c r="AH144" i="3" s="1"/>
  <c r="AJ144" i="3" s="1"/>
  <c r="AP144" i="3" s="1"/>
  <c r="AG133" i="3"/>
  <c r="AH133" i="3" s="1"/>
  <c r="AJ133" i="3" s="1"/>
  <c r="AP133" i="3" s="1"/>
  <c r="AG140" i="3"/>
  <c r="AH140" i="3" s="1"/>
  <c r="AJ140" i="3" s="1"/>
  <c r="AP140" i="3" s="1"/>
  <c r="O116" i="3"/>
  <c r="R116" i="3" s="1"/>
  <c r="Q116" i="3"/>
  <c r="O126" i="3"/>
  <c r="P126" i="3" s="1"/>
  <c r="S126" i="3" s="1"/>
  <c r="AG132" i="3"/>
  <c r="AH132" i="3" s="1"/>
  <c r="AJ132" i="3" s="1"/>
  <c r="AP132" i="3" s="1"/>
  <c r="AG149" i="3"/>
  <c r="AH149" i="3" s="1"/>
  <c r="AJ149" i="3" s="1"/>
  <c r="AP149" i="3" s="1"/>
  <c r="AG134" i="3"/>
  <c r="AH134" i="3" s="1"/>
  <c r="AJ134" i="3" s="1"/>
  <c r="AP134" i="3" s="1"/>
  <c r="AG137" i="3"/>
  <c r="AH137" i="3" s="1"/>
  <c r="AJ137" i="3" s="1"/>
  <c r="AP137" i="3" s="1"/>
  <c r="AG141" i="3"/>
  <c r="AH141" i="3" s="1"/>
  <c r="AJ141" i="3" s="1"/>
  <c r="AP141" i="3" s="1"/>
  <c r="AG46" i="3"/>
  <c r="AH46" i="3" s="1"/>
  <c r="AJ46" i="3" s="1"/>
  <c r="AP46" i="3" s="1"/>
  <c r="AG127" i="3"/>
  <c r="AH127" i="3" s="1"/>
  <c r="AJ127" i="3" s="1"/>
  <c r="AP127" i="3" s="1"/>
  <c r="O145" i="3"/>
  <c r="R145" i="3" s="1"/>
  <c r="AG147" i="3"/>
  <c r="AH147" i="3" s="1"/>
  <c r="AJ147" i="3" s="1"/>
  <c r="AP147" i="3" s="1"/>
  <c r="O136" i="3"/>
  <c r="R136" i="3" s="1"/>
  <c r="O139" i="3"/>
  <c r="R139" i="3" s="1"/>
  <c r="O143" i="3"/>
  <c r="P143" i="3" s="1"/>
  <c r="S143" i="3" s="1"/>
  <c r="O150" i="3"/>
  <c r="P150" i="3" s="1"/>
  <c r="S150" i="3" s="1"/>
  <c r="AG136" i="3"/>
  <c r="AH136" i="3" s="1"/>
  <c r="AJ136" i="3" s="1"/>
  <c r="AP136" i="3" s="1"/>
  <c r="AG139" i="3"/>
  <c r="AH139" i="3" s="1"/>
  <c r="AJ139" i="3" s="1"/>
  <c r="AP139" i="3" s="1"/>
  <c r="AG143" i="3"/>
  <c r="AH143" i="3" s="1"/>
  <c r="AJ143" i="3" s="1"/>
  <c r="AP143" i="3" s="1"/>
  <c r="AG125" i="3"/>
  <c r="AH125" i="3" s="1"/>
  <c r="AJ125" i="3" s="1"/>
  <c r="AP125" i="3" s="1"/>
  <c r="O128" i="3"/>
  <c r="R128" i="3" s="1"/>
  <c r="O137" i="3"/>
  <c r="P137" i="3" s="1"/>
  <c r="S137" i="3" s="1"/>
  <c r="O141" i="3"/>
  <c r="R141" i="3" s="1"/>
  <c r="O127" i="3"/>
  <c r="P127" i="3" s="1"/>
  <c r="S127" i="3" s="1"/>
  <c r="AG130" i="3"/>
  <c r="AH130" i="3" s="1"/>
  <c r="AJ130" i="3" s="1"/>
  <c r="AP130" i="3" s="1"/>
  <c r="O146" i="3"/>
  <c r="P146" i="3" s="1"/>
  <c r="S146" i="3" s="1"/>
  <c r="O125" i="3"/>
  <c r="R125" i="3" s="1"/>
  <c r="AG128" i="3"/>
  <c r="AH128" i="3" s="1"/>
  <c r="AJ128" i="3" s="1"/>
  <c r="AP128" i="3" s="1"/>
  <c r="O132" i="3"/>
  <c r="P132" i="3" s="1"/>
  <c r="S132" i="3" s="1"/>
  <c r="O144" i="3"/>
  <c r="P144" i="3" s="1"/>
  <c r="S144" i="3" s="1"/>
  <c r="O47" i="3"/>
  <c r="P47" i="3" s="1"/>
  <c r="S47" i="3" s="1"/>
  <c r="AG126" i="3"/>
  <c r="AH126" i="3" s="1"/>
  <c r="AJ126" i="3" s="1"/>
  <c r="AP126" i="3" s="1"/>
  <c r="AG145" i="3"/>
  <c r="AH145" i="3" s="1"/>
  <c r="AJ145" i="3" s="1"/>
  <c r="AP145" i="3" s="1"/>
  <c r="O131" i="3"/>
  <c r="R131" i="3" s="1"/>
  <c r="R129" i="3"/>
  <c r="AG45" i="3"/>
  <c r="AH45" i="3" s="1"/>
  <c r="AJ45" i="3" s="1"/>
  <c r="AP45" i="3" s="1"/>
  <c r="O45" i="3"/>
  <c r="P45" i="3" s="1"/>
  <c r="S45" i="3" s="1"/>
  <c r="O46" i="3"/>
  <c r="R46" i="3" s="1"/>
  <c r="AG58" i="3"/>
  <c r="AH58" i="3" s="1"/>
  <c r="AJ58" i="3" s="1"/>
  <c r="AP58" i="3" s="1"/>
  <c r="AG47" i="3"/>
  <c r="AH47" i="3" s="1"/>
  <c r="AJ47" i="3" s="1"/>
  <c r="AP47" i="3" s="1"/>
  <c r="O60" i="3"/>
  <c r="R60" i="3" s="1"/>
  <c r="AG60" i="3"/>
  <c r="AH60" i="3" s="1"/>
  <c r="AJ60" i="3" s="1"/>
  <c r="AP60" i="3" s="1"/>
  <c r="O58" i="3"/>
  <c r="R58" i="3" s="1"/>
  <c r="AG55" i="3"/>
  <c r="AH55" i="3" s="1"/>
  <c r="AJ55" i="3" s="1"/>
  <c r="AP55" i="3" s="1"/>
  <c r="O55" i="3"/>
  <c r="R55" i="3" s="1"/>
  <c r="O100" i="3"/>
  <c r="R100" i="3" s="1"/>
  <c r="O53" i="3"/>
  <c r="R53" i="3" s="1"/>
  <c r="O54" i="3"/>
  <c r="R54" i="3" s="1"/>
  <c r="AG53" i="3"/>
  <c r="AH53" i="3" s="1"/>
  <c r="AJ53" i="3" s="1"/>
  <c r="AP53" i="3" s="1"/>
  <c r="AG54" i="3"/>
  <c r="AH54" i="3" s="1"/>
  <c r="AJ54" i="3" s="1"/>
  <c r="AP54" i="3" s="1"/>
  <c r="AG100" i="3"/>
  <c r="AH100" i="3" s="1"/>
  <c r="AJ100" i="3" s="1"/>
  <c r="AP100" i="3" s="1"/>
  <c r="O122" i="3"/>
  <c r="AG122" i="3"/>
  <c r="AH122" i="3" s="1"/>
  <c r="AJ122" i="3" s="1"/>
  <c r="AP122" i="3" s="1"/>
  <c r="O124" i="3"/>
  <c r="P124" i="3" s="1"/>
  <c r="S124" i="3" s="1"/>
  <c r="O174" i="3"/>
  <c r="R174" i="3" s="1"/>
  <c r="O98" i="3"/>
  <c r="P98" i="3" s="1"/>
  <c r="S98" i="3" s="1"/>
  <c r="AG114" i="3"/>
  <c r="AH114" i="3" s="1"/>
  <c r="AJ114" i="3" s="1"/>
  <c r="AP114" i="3" s="1"/>
  <c r="O97" i="3"/>
  <c r="P97" i="3" s="1"/>
  <c r="S97" i="3" s="1"/>
  <c r="AG174" i="3"/>
  <c r="AH174" i="3" s="1"/>
  <c r="AJ174" i="3" s="1"/>
  <c r="AP174" i="3" s="1"/>
  <c r="AG96" i="3"/>
  <c r="AH96" i="3" s="1"/>
  <c r="AJ96" i="3" s="1"/>
  <c r="AP96" i="3" s="1"/>
  <c r="AG97" i="3"/>
  <c r="AH97" i="3" s="1"/>
  <c r="AG106" i="3"/>
  <c r="AH106" i="3" s="1"/>
  <c r="AJ106" i="3" s="1"/>
  <c r="AP106" i="3" s="1"/>
  <c r="AG101" i="3"/>
  <c r="AH101" i="3" s="1"/>
  <c r="AJ101" i="3" s="1"/>
  <c r="AP101" i="3" s="1"/>
  <c r="AG113" i="3"/>
  <c r="AH113" i="3" s="1"/>
  <c r="AJ113" i="3" s="1"/>
  <c r="AP113" i="3" s="1"/>
  <c r="AG99" i="3"/>
  <c r="AH99" i="3" s="1"/>
  <c r="AJ99" i="3" s="1"/>
  <c r="AP99" i="3" s="1"/>
  <c r="O103" i="3"/>
  <c r="P103" i="3" s="1"/>
  <c r="S103" i="3" s="1"/>
  <c r="O173" i="3"/>
  <c r="P173" i="3" s="1"/>
  <c r="S173" i="3" s="1"/>
  <c r="O104" i="3"/>
  <c r="P104" i="3" s="1"/>
  <c r="S104" i="3" s="1"/>
  <c r="O108" i="3"/>
  <c r="P108" i="3" s="1"/>
  <c r="S108" i="3" s="1"/>
  <c r="AG98" i="3"/>
  <c r="AH98" i="3" s="1"/>
  <c r="AJ98" i="3" s="1"/>
  <c r="AP98" i="3" s="1"/>
  <c r="AG105" i="3"/>
  <c r="AH105" i="3" s="1"/>
  <c r="AJ105" i="3" s="1"/>
  <c r="AP105" i="3" s="1"/>
  <c r="AG103" i="3"/>
  <c r="AH103" i="3" s="1"/>
  <c r="AJ103" i="3" s="1"/>
  <c r="AP103" i="3" s="1"/>
  <c r="AG123" i="3"/>
  <c r="AH123" i="3" s="1"/>
  <c r="AJ123" i="3" s="1"/>
  <c r="AP123" i="3" s="1"/>
  <c r="AG173" i="3"/>
  <c r="AH173" i="3" s="1"/>
  <c r="AJ173" i="3" s="1"/>
  <c r="AP173" i="3" s="1"/>
  <c r="O110" i="3"/>
  <c r="R110" i="3" s="1"/>
  <c r="AG111" i="3"/>
  <c r="AH111" i="3" s="1"/>
  <c r="AJ111" i="3" s="1"/>
  <c r="AP111" i="3" s="1"/>
  <c r="O123" i="3"/>
  <c r="P123" i="3" s="1"/>
  <c r="S123" i="3" s="1"/>
  <c r="O113" i="3"/>
  <c r="P113" i="3" s="1"/>
  <c r="S113" i="3" s="1"/>
  <c r="O109" i="3"/>
  <c r="P109" i="3" s="1"/>
  <c r="S109" i="3" s="1"/>
  <c r="O99" i="3"/>
  <c r="P99" i="3" s="1"/>
  <c r="S99" i="3" s="1"/>
  <c r="O105" i="3"/>
  <c r="O106" i="3"/>
  <c r="O102" i="3"/>
  <c r="P102" i="3" s="1"/>
  <c r="S102" i="3" s="1"/>
  <c r="AI97" i="3"/>
  <c r="O96" i="3"/>
  <c r="O101" i="3"/>
  <c r="AG107" i="3"/>
  <c r="AH107" i="3" s="1"/>
  <c r="AJ107" i="3" s="1"/>
  <c r="AP107" i="3" s="1"/>
  <c r="AG108" i="3"/>
  <c r="AH108" i="3" s="1"/>
  <c r="AJ108" i="3" s="1"/>
  <c r="AP108" i="3" s="1"/>
  <c r="AG109" i="3"/>
  <c r="AH109" i="3" s="1"/>
  <c r="AJ109" i="3" s="1"/>
  <c r="AP109" i="3" s="1"/>
  <c r="AG110" i="3"/>
  <c r="AH110" i="3" s="1"/>
  <c r="AJ110" i="3" s="1"/>
  <c r="AP110" i="3" s="1"/>
  <c r="AG124" i="3"/>
  <c r="AH124" i="3" s="1"/>
  <c r="AJ124" i="3" s="1"/>
  <c r="AP124" i="3" s="1"/>
  <c r="AG102" i="3"/>
  <c r="AH102" i="3" s="1"/>
  <c r="AJ102" i="3" s="1"/>
  <c r="AP102" i="3" s="1"/>
  <c r="AG104" i="3"/>
  <c r="AH104" i="3" s="1"/>
  <c r="AJ104" i="3" s="1"/>
  <c r="AP104" i="3" s="1"/>
  <c r="O107" i="3"/>
  <c r="O111" i="3"/>
  <c r="O114" i="3"/>
  <c r="AG112" i="3"/>
  <c r="AH112" i="3" s="1"/>
  <c r="AJ112" i="3" s="1"/>
  <c r="AP112" i="3" s="1"/>
  <c r="AG115" i="3"/>
  <c r="AH115" i="3" s="1"/>
  <c r="AJ115" i="3" s="1"/>
  <c r="AP115" i="3" s="1"/>
  <c r="O112" i="3"/>
  <c r="O115" i="3"/>
  <c r="AF94" i="3"/>
  <c r="AI94" i="3" s="1"/>
  <c r="AE94" i="3"/>
  <c r="Y94" i="3"/>
  <c r="N94" i="3"/>
  <c r="Q94" i="3" s="1"/>
  <c r="M94" i="3"/>
  <c r="C94" i="3"/>
  <c r="AF93" i="3"/>
  <c r="AI93" i="3" s="1"/>
  <c r="AE93" i="3"/>
  <c r="Y93" i="3"/>
  <c r="N93" i="3"/>
  <c r="Q93" i="3" s="1"/>
  <c r="M93" i="3"/>
  <c r="C93" i="3"/>
  <c r="AF92" i="3"/>
  <c r="AI92" i="3" s="1"/>
  <c r="AE92" i="3"/>
  <c r="Y92" i="3"/>
  <c r="N92" i="3"/>
  <c r="Q92" i="3" s="1"/>
  <c r="M92" i="3"/>
  <c r="C92" i="3"/>
  <c r="AF91" i="3"/>
  <c r="AI91" i="3" s="1"/>
  <c r="AE91" i="3"/>
  <c r="Y91" i="3"/>
  <c r="N91" i="3"/>
  <c r="Q91" i="3" s="1"/>
  <c r="M91" i="3"/>
  <c r="C91" i="3"/>
  <c r="AF90" i="3"/>
  <c r="AI90" i="3" s="1"/>
  <c r="AE90" i="3"/>
  <c r="Y90" i="3"/>
  <c r="N90" i="3"/>
  <c r="Q90" i="3" s="1"/>
  <c r="M90" i="3"/>
  <c r="C90" i="3"/>
  <c r="AF89" i="3"/>
  <c r="AI89" i="3" s="1"/>
  <c r="AE89" i="3"/>
  <c r="Y89" i="3"/>
  <c r="N89" i="3"/>
  <c r="Q89" i="3" s="1"/>
  <c r="M89" i="3"/>
  <c r="C89" i="3"/>
  <c r="AF88" i="3"/>
  <c r="AI88" i="3" s="1"/>
  <c r="AE88" i="3"/>
  <c r="Y88" i="3"/>
  <c r="N88" i="3"/>
  <c r="Q88" i="3" s="1"/>
  <c r="M88" i="3"/>
  <c r="C88" i="3"/>
  <c r="AF87" i="3"/>
  <c r="AI87" i="3" s="1"/>
  <c r="AE87" i="3"/>
  <c r="Y87" i="3"/>
  <c r="N87" i="3"/>
  <c r="Q87" i="3" s="1"/>
  <c r="M87" i="3"/>
  <c r="C87" i="3"/>
  <c r="AF86" i="3"/>
  <c r="AI86" i="3" s="1"/>
  <c r="AE86" i="3"/>
  <c r="Y86" i="3"/>
  <c r="N86" i="3"/>
  <c r="Q86" i="3" s="1"/>
  <c r="M86" i="3"/>
  <c r="C86" i="3"/>
  <c r="AF85" i="3"/>
  <c r="AI85" i="3" s="1"/>
  <c r="AE85" i="3"/>
  <c r="Y85" i="3"/>
  <c r="N85" i="3"/>
  <c r="Q85" i="3" s="1"/>
  <c r="M85" i="3"/>
  <c r="C85" i="3"/>
  <c r="AF84" i="3"/>
  <c r="AI84" i="3" s="1"/>
  <c r="AE84" i="3"/>
  <c r="Y84" i="3"/>
  <c r="N84" i="3"/>
  <c r="Q84" i="3" s="1"/>
  <c r="M84" i="3"/>
  <c r="C84" i="3"/>
  <c r="AF83" i="3"/>
  <c r="AI83" i="3" s="1"/>
  <c r="AE83" i="3"/>
  <c r="Y83" i="3"/>
  <c r="N83" i="3"/>
  <c r="Q83" i="3" s="1"/>
  <c r="M83" i="3"/>
  <c r="C83" i="3"/>
  <c r="AF82" i="3"/>
  <c r="AI82" i="3" s="1"/>
  <c r="AE82" i="3"/>
  <c r="Y82" i="3"/>
  <c r="N82" i="3"/>
  <c r="Q82" i="3" s="1"/>
  <c r="M82" i="3"/>
  <c r="C82" i="3"/>
  <c r="AF71" i="3"/>
  <c r="AI71" i="3" s="1"/>
  <c r="AE71" i="3"/>
  <c r="Y71" i="3"/>
  <c r="N71" i="3"/>
  <c r="Q71" i="3" s="1"/>
  <c r="M71" i="3"/>
  <c r="C71" i="3"/>
  <c r="AF61" i="3"/>
  <c r="AI61" i="3" s="1"/>
  <c r="AE61" i="3"/>
  <c r="Y61" i="3"/>
  <c r="N61" i="3"/>
  <c r="Q61" i="3" s="1"/>
  <c r="M61" i="3"/>
  <c r="C61" i="3"/>
  <c r="AF81" i="3"/>
  <c r="AI81" i="3" s="1"/>
  <c r="AE81" i="3"/>
  <c r="Y81" i="3"/>
  <c r="N81" i="3"/>
  <c r="Q81" i="3" s="1"/>
  <c r="M81" i="3"/>
  <c r="C81" i="3"/>
  <c r="AF80" i="3"/>
  <c r="AI80" i="3" s="1"/>
  <c r="AE80" i="3"/>
  <c r="Y80" i="3"/>
  <c r="N80" i="3"/>
  <c r="Q80" i="3" s="1"/>
  <c r="M80" i="3"/>
  <c r="C80" i="3"/>
  <c r="AF79" i="3"/>
  <c r="AI79" i="3" s="1"/>
  <c r="AE79" i="3"/>
  <c r="Y79" i="3"/>
  <c r="N79" i="3"/>
  <c r="Q79" i="3" s="1"/>
  <c r="M79" i="3"/>
  <c r="C79" i="3"/>
  <c r="AF78" i="3"/>
  <c r="AI78" i="3" s="1"/>
  <c r="AE78" i="3"/>
  <c r="Y78" i="3"/>
  <c r="N78" i="3"/>
  <c r="Q78" i="3" s="1"/>
  <c r="M78" i="3"/>
  <c r="C78" i="3"/>
  <c r="AF77" i="3"/>
  <c r="AI77" i="3" s="1"/>
  <c r="AE77" i="3"/>
  <c r="Y77" i="3"/>
  <c r="N77" i="3"/>
  <c r="Q77" i="3" s="1"/>
  <c r="M77" i="3"/>
  <c r="C77" i="3"/>
  <c r="AF76" i="3"/>
  <c r="AI76" i="3" s="1"/>
  <c r="AE76" i="3"/>
  <c r="Y76" i="3"/>
  <c r="N76" i="3"/>
  <c r="Q76" i="3" s="1"/>
  <c r="M76" i="3"/>
  <c r="C76" i="3"/>
  <c r="AF75" i="3"/>
  <c r="AI75" i="3" s="1"/>
  <c r="AE75" i="3"/>
  <c r="Y75" i="3"/>
  <c r="N75" i="3"/>
  <c r="Q75" i="3" s="1"/>
  <c r="M75" i="3"/>
  <c r="C75" i="3"/>
  <c r="AF74" i="3"/>
  <c r="AI74" i="3" s="1"/>
  <c r="AE74" i="3"/>
  <c r="Y74" i="3"/>
  <c r="N74" i="3"/>
  <c r="Q74" i="3" s="1"/>
  <c r="M74" i="3"/>
  <c r="C74" i="3"/>
  <c r="AF73" i="3"/>
  <c r="AI73" i="3" s="1"/>
  <c r="AE73" i="3"/>
  <c r="Y73" i="3"/>
  <c r="N73" i="3"/>
  <c r="Q73" i="3" s="1"/>
  <c r="M73" i="3"/>
  <c r="C73" i="3"/>
  <c r="AF72" i="3"/>
  <c r="AI72" i="3" s="1"/>
  <c r="AE72" i="3"/>
  <c r="Y72" i="3"/>
  <c r="N72" i="3"/>
  <c r="Q72" i="3" s="1"/>
  <c r="M72" i="3"/>
  <c r="C72" i="3"/>
  <c r="AF70" i="3"/>
  <c r="AI70" i="3" s="1"/>
  <c r="AE70" i="3"/>
  <c r="Y70" i="3"/>
  <c r="N70" i="3"/>
  <c r="Q70" i="3" s="1"/>
  <c r="M70" i="3"/>
  <c r="C70" i="3"/>
  <c r="AF27" i="3"/>
  <c r="AI27" i="3" s="1"/>
  <c r="AE27" i="3"/>
  <c r="Y27" i="3"/>
  <c r="N27" i="3"/>
  <c r="Q27" i="3" s="1"/>
  <c r="M27" i="3"/>
  <c r="C27" i="3"/>
  <c r="B23" i="10"/>
  <c r="C23" i="10" s="1"/>
  <c r="B22" i="10"/>
  <c r="C22" i="10" s="1"/>
  <c r="B21" i="10"/>
  <c r="C21" i="10" s="1"/>
  <c r="B20" i="10"/>
  <c r="C20" i="10" s="1"/>
  <c r="B19" i="10"/>
  <c r="C19" i="10" s="1"/>
  <c r="B18" i="10"/>
  <c r="C18" i="10" s="1"/>
  <c r="B17" i="10"/>
  <c r="C17" i="10" s="1"/>
  <c r="B16" i="10"/>
  <c r="C16" i="10" s="1"/>
  <c r="B15" i="10"/>
  <c r="C15" i="10" s="1"/>
  <c r="B14" i="10"/>
  <c r="C14" i="10" s="1"/>
  <c r="B13" i="10"/>
  <c r="C13" i="10" s="1"/>
  <c r="B12" i="10"/>
  <c r="C12" i="10" s="1"/>
  <c r="B11" i="10"/>
  <c r="C11" i="10" s="1"/>
  <c r="B10" i="10"/>
  <c r="C10" i="10" s="1"/>
  <c r="B9" i="10"/>
  <c r="C9" i="10" s="1"/>
  <c r="B8" i="10"/>
  <c r="C8" i="10" s="1"/>
  <c r="B7" i="10"/>
  <c r="C7" i="10" s="1"/>
  <c r="B6" i="10"/>
  <c r="I5" i="10"/>
  <c r="H5" i="10"/>
  <c r="G5" i="10"/>
  <c r="F5" i="10"/>
  <c r="E5" i="10"/>
  <c r="D5" i="10"/>
  <c r="A1" i="10"/>
  <c r="S115" i="9"/>
  <c r="R115" i="9"/>
  <c r="S114" i="9"/>
  <c r="R114" i="9"/>
  <c r="S113" i="9"/>
  <c r="R113" i="9"/>
  <c r="S112" i="9"/>
  <c r="R112" i="9"/>
  <c r="S111" i="9"/>
  <c r="R111" i="9"/>
  <c r="S110" i="9"/>
  <c r="R110" i="9"/>
  <c r="S109" i="9"/>
  <c r="R109" i="9"/>
  <c r="S108" i="9"/>
  <c r="R108" i="9"/>
  <c r="S107" i="9"/>
  <c r="R107" i="9"/>
  <c r="S106" i="9"/>
  <c r="R106" i="9"/>
  <c r="S105" i="9"/>
  <c r="R105" i="9"/>
  <c r="S104" i="9"/>
  <c r="R104" i="9"/>
  <c r="S103" i="9"/>
  <c r="R103" i="9"/>
  <c r="S102" i="9"/>
  <c r="R102" i="9"/>
  <c r="S101" i="9"/>
  <c r="R101" i="9"/>
  <c r="S100" i="9"/>
  <c r="R100" i="9"/>
  <c r="S99" i="9"/>
  <c r="R99" i="9"/>
  <c r="S98" i="9"/>
  <c r="R98" i="9"/>
  <c r="S97" i="9"/>
  <c r="R97" i="9"/>
  <c r="S96" i="9"/>
  <c r="R96" i="9"/>
  <c r="S95" i="9"/>
  <c r="R95" i="9"/>
  <c r="S94" i="9"/>
  <c r="R94" i="9"/>
  <c r="S93" i="9"/>
  <c r="R93" i="9"/>
  <c r="S92" i="9"/>
  <c r="R92" i="9"/>
  <c r="S91" i="9"/>
  <c r="R91" i="9"/>
  <c r="S90" i="9"/>
  <c r="R90" i="9"/>
  <c r="S89" i="9"/>
  <c r="R89" i="9"/>
  <c r="S88" i="9"/>
  <c r="R88" i="9"/>
  <c r="S87" i="9"/>
  <c r="R87" i="9"/>
  <c r="S86" i="9"/>
  <c r="R86" i="9"/>
  <c r="S85" i="9"/>
  <c r="R85" i="9"/>
  <c r="S84" i="9"/>
  <c r="R84" i="9"/>
  <c r="S83" i="9"/>
  <c r="R83" i="9"/>
  <c r="S82" i="9"/>
  <c r="R82" i="9"/>
  <c r="S81" i="9"/>
  <c r="R81" i="9"/>
  <c r="S80" i="9"/>
  <c r="R80" i="9"/>
  <c r="S79" i="9"/>
  <c r="R79" i="9"/>
  <c r="S78" i="9"/>
  <c r="R78" i="9"/>
  <c r="S77" i="9"/>
  <c r="R77" i="9"/>
  <c r="S76" i="9"/>
  <c r="R76" i="9"/>
  <c r="S75" i="9"/>
  <c r="R75" i="9"/>
  <c r="S74" i="9"/>
  <c r="R74" i="9"/>
  <c r="S73" i="9"/>
  <c r="R73" i="9"/>
  <c r="S72" i="9"/>
  <c r="R72" i="9"/>
  <c r="S71" i="9"/>
  <c r="R71" i="9"/>
  <c r="S70" i="9"/>
  <c r="R70" i="9"/>
  <c r="S69" i="9"/>
  <c r="R69" i="9"/>
  <c r="S68" i="9"/>
  <c r="R68" i="9"/>
  <c r="S67" i="9"/>
  <c r="R67" i="9"/>
  <c r="S66" i="9"/>
  <c r="R66" i="9"/>
  <c r="S65" i="9"/>
  <c r="R65" i="9"/>
  <c r="S64" i="9"/>
  <c r="R64" i="9"/>
  <c r="S63" i="9"/>
  <c r="R63" i="9"/>
  <c r="S62" i="9"/>
  <c r="R62" i="9"/>
  <c r="S61" i="9"/>
  <c r="R61" i="9"/>
  <c r="S60" i="9"/>
  <c r="R60" i="9"/>
  <c r="S59" i="9"/>
  <c r="R59" i="9"/>
  <c r="S58" i="9"/>
  <c r="R58" i="9"/>
  <c r="S57" i="9"/>
  <c r="R57" i="9"/>
  <c r="S56" i="9"/>
  <c r="R56" i="9"/>
  <c r="S55" i="9"/>
  <c r="R55" i="9"/>
  <c r="S54" i="9"/>
  <c r="R54" i="9"/>
  <c r="S53" i="9"/>
  <c r="R53" i="9"/>
  <c r="S52" i="9"/>
  <c r="R52" i="9"/>
  <c r="S51" i="9"/>
  <c r="S50" i="9"/>
  <c r="R50" i="9"/>
  <c r="S49" i="9"/>
  <c r="R49" i="9"/>
  <c r="S48" i="9"/>
  <c r="R48" i="9"/>
  <c r="S47" i="9"/>
  <c r="R47" i="9"/>
  <c r="S46" i="9"/>
  <c r="S45" i="9"/>
  <c r="R45" i="9"/>
  <c r="S44" i="9"/>
  <c r="R44" i="9"/>
  <c r="S43" i="9"/>
  <c r="R43" i="9"/>
  <c r="S42" i="9"/>
  <c r="R42" i="9"/>
  <c r="S41" i="9"/>
  <c r="R41" i="9"/>
  <c r="S40" i="9"/>
  <c r="R40" i="9"/>
  <c r="S39" i="9"/>
  <c r="R39" i="9"/>
  <c r="S38" i="9"/>
  <c r="R38" i="9"/>
  <c r="S37" i="9"/>
  <c r="R37" i="9"/>
  <c r="S36" i="9"/>
  <c r="R36" i="9"/>
  <c r="S35" i="9"/>
  <c r="R35" i="9"/>
  <c r="S34" i="9"/>
  <c r="R34" i="9"/>
  <c r="S33" i="9"/>
  <c r="R33" i="9"/>
  <c r="S32" i="9"/>
  <c r="R32" i="9"/>
  <c r="S31" i="9"/>
  <c r="R31" i="9"/>
  <c r="S30" i="9"/>
  <c r="R30" i="9"/>
  <c r="S29" i="9"/>
  <c r="R29" i="9"/>
  <c r="S28" i="9"/>
  <c r="R28" i="9"/>
  <c r="S27" i="9"/>
  <c r="R27" i="9"/>
  <c r="O18" i="9"/>
  <c r="O17" i="9"/>
  <c r="E17" i="9"/>
  <c r="B17" i="9"/>
  <c r="F11" i="9" s="1"/>
  <c r="O16" i="9"/>
  <c r="F16" i="9"/>
  <c r="O15" i="9"/>
  <c r="F15" i="9"/>
  <c r="O14" i="9"/>
  <c r="D14" i="9"/>
  <c r="O13" i="9"/>
  <c r="G12" i="9"/>
  <c r="F12" i="9"/>
  <c r="D12" i="9"/>
  <c r="H11" i="9"/>
  <c r="H6" i="9"/>
  <c r="K3" i="9"/>
  <c r="J2" i="9"/>
  <c r="B1" i="9"/>
  <c r="G107" i="7"/>
  <c r="G106" i="7"/>
  <c r="G105" i="7"/>
  <c r="G104" i="7"/>
  <c r="G103" i="7"/>
  <c r="G102" i="7"/>
  <c r="G101" i="7"/>
  <c r="G100" i="7"/>
  <c r="G99" i="7"/>
  <c r="G98" i="7"/>
  <c r="G97" i="7"/>
  <c r="G96" i="7"/>
  <c r="G95" i="7"/>
  <c r="G94" i="7"/>
  <c r="G93" i="7"/>
  <c r="G92" i="7"/>
  <c r="G91" i="7"/>
  <c r="G90" i="7"/>
  <c r="G89" i="7"/>
  <c r="G88" i="7"/>
  <c r="G87" i="7"/>
  <c r="G86" i="7"/>
  <c r="G85" i="7"/>
  <c r="G84" i="7"/>
  <c r="G83" i="7"/>
  <c r="G82" i="7"/>
  <c r="G81" i="7"/>
  <c r="G80" i="7"/>
  <c r="G79" i="7"/>
  <c r="G78" i="7"/>
  <c r="G77" i="7"/>
  <c r="G76" i="7"/>
  <c r="G75" i="7"/>
  <c r="G74" i="7"/>
  <c r="G73" i="7"/>
  <c r="G72" i="7"/>
  <c r="G71" i="7"/>
  <c r="G70" i="7"/>
  <c r="G69" i="7"/>
  <c r="G68" i="7"/>
  <c r="G67" i="7"/>
  <c r="G66" i="7"/>
  <c r="G65" i="7"/>
  <c r="G64" i="7"/>
  <c r="G63" i="7"/>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D5" i="7"/>
  <c r="K402" i="6"/>
  <c r="J402" i="6"/>
  <c r="K401" i="6"/>
  <c r="J401" i="6"/>
  <c r="K400" i="6"/>
  <c r="J400" i="6"/>
  <c r="J399" i="6"/>
  <c r="K399" i="6" s="1"/>
  <c r="J398" i="6"/>
  <c r="K398" i="6" s="1"/>
  <c r="K397" i="6"/>
  <c r="J397" i="6"/>
  <c r="J396" i="6"/>
  <c r="K396" i="6" s="1"/>
  <c r="J395" i="6"/>
  <c r="K395" i="6" s="1"/>
  <c r="J394" i="6"/>
  <c r="K394" i="6" s="1"/>
  <c r="J393" i="6"/>
  <c r="K393" i="6" s="1"/>
  <c r="K392" i="6"/>
  <c r="J392" i="6"/>
  <c r="J391" i="6"/>
  <c r="K391" i="6" s="1"/>
  <c r="J390" i="6"/>
  <c r="K390" i="6" s="1"/>
  <c r="J389" i="6"/>
  <c r="K389" i="6" s="1"/>
  <c r="K388" i="6"/>
  <c r="J388" i="6"/>
  <c r="J387" i="6"/>
  <c r="K387" i="6" s="1"/>
  <c r="K386" i="6"/>
  <c r="J386" i="6"/>
  <c r="J385" i="6"/>
  <c r="K385" i="6" s="1"/>
  <c r="K384" i="6"/>
  <c r="J384" i="6"/>
  <c r="J383" i="6"/>
  <c r="K383" i="6" s="1"/>
  <c r="J382" i="6"/>
  <c r="K382" i="6" s="1"/>
  <c r="J381" i="6"/>
  <c r="K381" i="6" s="1"/>
  <c r="K380" i="6"/>
  <c r="J380" i="6"/>
  <c r="J379" i="6"/>
  <c r="K379" i="6" s="1"/>
  <c r="K378" i="6"/>
  <c r="J378" i="6"/>
  <c r="K377" i="6"/>
  <c r="J377" i="6"/>
  <c r="K376" i="6"/>
  <c r="J376" i="6"/>
  <c r="J375" i="6"/>
  <c r="K375" i="6" s="1"/>
  <c r="K374" i="6"/>
  <c r="J374" i="6"/>
  <c r="J373" i="6"/>
  <c r="K373" i="6" s="1"/>
  <c r="J372" i="6"/>
  <c r="K372" i="6" s="1"/>
  <c r="J371" i="6"/>
  <c r="K371" i="6" s="1"/>
  <c r="K370" i="6"/>
  <c r="J370" i="6"/>
  <c r="K369" i="6"/>
  <c r="J369" i="6"/>
  <c r="K368" i="6"/>
  <c r="J368" i="6"/>
  <c r="J367" i="6"/>
  <c r="K367" i="6" s="1"/>
  <c r="J366" i="6"/>
  <c r="K366" i="6" s="1"/>
  <c r="K365" i="6"/>
  <c r="J365" i="6"/>
  <c r="J364" i="6"/>
  <c r="K364" i="6" s="1"/>
  <c r="J363" i="6"/>
  <c r="K363" i="6" s="1"/>
  <c r="J362" i="6"/>
  <c r="K362" i="6" s="1"/>
  <c r="J361" i="6"/>
  <c r="K361" i="6" s="1"/>
  <c r="K360" i="6"/>
  <c r="J360" i="6"/>
  <c r="J359" i="6"/>
  <c r="K359" i="6" s="1"/>
  <c r="J358" i="6"/>
  <c r="K358" i="6" s="1"/>
  <c r="J357" i="6"/>
  <c r="K357" i="6" s="1"/>
  <c r="J356" i="6"/>
  <c r="K356" i="6" s="1"/>
  <c r="J355" i="6"/>
  <c r="K355" i="6" s="1"/>
  <c r="K354" i="6"/>
  <c r="J354" i="6"/>
  <c r="K353" i="6"/>
  <c r="J353" i="6"/>
  <c r="K352" i="6"/>
  <c r="J352" i="6"/>
  <c r="J351" i="6"/>
  <c r="K351" i="6" s="1"/>
  <c r="J350" i="6"/>
  <c r="K350" i="6" s="1"/>
  <c r="J349" i="6"/>
  <c r="K349" i="6" s="1"/>
  <c r="J348" i="6"/>
  <c r="K348" i="6" s="1"/>
  <c r="J347" i="6"/>
  <c r="K347" i="6" s="1"/>
  <c r="K346" i="6"/>
  <c r="J346" i="6"/>
  <c r="K345" i="6"/>
  <c r="J345" i="6"/>
  <c r="J344" i="6"/>
  <c r="K344" i="6" s="1"/>
  <c r="J343" i="6"/>
  <c r="K343" i="6" s="1"/>
  <c r="K342" i="6"/>
  <c r="J342" i="6"/>
  <c r="J341" i="6"/>
  <c r="K341" i="6" s="1"/>
  <c r="J340" i="6"/>
  <c r="K340" i="6" s="1"/>
  <c r="J339" i="6"/>
  <c r="K339" i="6" s="1"/>
  <c r="J338" i="6"/>
  <c r="K338" i="6" s="1"/>
  <c r="K337" i="6"/>
  <c r="J337" i="6"/>
  <c r="K336" i="6"/>
  <c r="J336" i="6"/>
  <c r="J335" i="6"/>
  <c r="K335" i="6" s="1"/>
  <c r="K334" i="6"/>
  <c r="J334" i="6"/>
  <c r="J333" i="6"/>
  <c r="K333" i="6" s="1"/>
  <c r="J332" i="6"/>
  <c r="K332" i="6" s="1"/>
  <c r="J331" i="6"/>
  <c r="K331" i="6" s="1"/>
  <c r="J330" i="6"/>
  <c r="K330" i="6" s="1"/>
  <c r="K329" i="6"/>
  <c r="J329" i="6"/>
  <c r="K328" i="6"/>
  <c r="J328" i="6"/>
  <c r="J327" i="6"/>
  <c r="K327" i="6" s="1"/>
  <c r="J326" i="6"/>
  <c r="K326" i="6" s="1"/>
  <c r="J325" i="6"/>
  <c r="K325" i="6" s="1"/>
  <c r="K324" i="6"/>
  <c r="J324" i="6"/>
  <c r="J323" i="6"/>
  <c r="K323" i="6" s="1"/>
  <c r="K322" i="6"/>
  <c r="J322" i="6"/>
  <c r="K321" i="6"/>
  <c r="J321" i="6"/>
  <c r="K320" i="6"/>
  <c r="J320" i="6"/>
  <c r="J319" i="6"/>
  <c r="K319" i="6" s="1"/>
  <c r="J318" i="6"/>
  <c r="K318" i="6" s="1"/>
  <c r="J317" i="6"/>
  <c r="K317" i="6" s="1"/>
  <c r="K316" i="6"/>
  <c r="J316" i="6"/>
  <c r="J315" i="6"/>
  <c r="K315" i="6" s="1"/>
  <c r="K314" i="6"/>
  <c r="J314" i="6"/>
  <c r="K313" i="6"/>
  <c r="J313" i="6"/>
  <c r="J312" i="6"/>
  <c r="K312" i="6" s="1"/>
  <c r="J311" i="6"/>
  <c r="K311" i="6" s="1"/>
  <c r="J310" i="6"/>
  <c r="K310" i="6" s="1"/>
  <c r="J309" i="6"/>
  <c r="K309" i="6" s="1"/>
  <c r="J308" i="6"/>
  <c r="K308" i="6" s="1"/>
  <c r="J307" i="6"/>
  <c r="K307" i="6" s="1"/>
  <c r="K306" i="6"/>
  <c r="J306" i="6"/>
  <c r="K305" i="6"/>
  <c r="J305" i="6"/>
  <c r="K304" i="6"/>
  <c r="J304" i="6"/>
  <c r="J303" i="6"/>
  <c r="K303" i="6" s="1"/>
  <c r="J302" i="6"/>
  <c r="K302" i="6" s="1"/>
  <c r="K301" i="6"/>
  <c r="J301" i="6"/>
  <c r="J300" i="6"/>
  <c r="K300" i="6" s="1"/>
  <c r="J299" i="6"/>
  <c r="K299" i="6" s="1"/>
  <c r="K298" i="6"/>
  <c r="J298" i="6"/>
  <c r="J297" i="6"/>
  <c r="K297" i="6" s="1"/>
  <c r="K296" i="6"/>
  <c r="J296" i="6"/>
  <c r="J295" i="6"/>
  <c r="K295" i="6" s="1"/>
  <c r="J294" i="6"/>
  <c r="K294" i="6" s="1"/>
  <c r="K293" i="6"/>
  <c r="J293" i="6"/>
  <c r="J292" i="6"/>
  <c r="K292" i="6" s="1"/>
  <c r="J291" i="6"/>
  <c r="K291" i="6" s="1"/>
  <c r="K290" i="6"/>
  <c r="J290" i="6"/>
  <c r="J289" i="6"/>
  <c r="K289" i="6" s="1"/>
  <c r="J288" i="6"/>
  <c r="K288" i="6" s="1"/>
  <c r="J287" i="6"/>
  <c r="K287" i="6" s="1"/>
  <c r="J286" i="6"/>
  <c r="K286" i="6" s="1"/>
  <c r="J285" i="6"/>
  <c r="K285" i="6" s="1"/>
  <c r="J284" i="6"/>
  <c r="K284" i="6" s="1"/>
  <c r="J283" i="6"/>
  <c r="K283" i="6" s="1"/>
  <c r="K282" i="6"/>
  <c r="J282" i="6"/>
  <c r="K281" i="6"/>
  <c r="J281" i="6"/>
  <c r="K280" i="6"/>
  <c r="J280" i="6"/>
  <c r="J279" i="6"/>
  <c r="K279" i="6" s="1"/>
  <c r="K278" i="6"/>
  <c r="J278" i="6"/>
  <c r="J277" i="6"/>
  <c r="K277" i="6" s="1"/>
  <c r="J276" i="6"/>
  <c r="K276" i="6" s="1"/>
  <c r="J275" i="6"/>
  <c r="K275" i="6" s="1"/>
  <c r="K274" i="6"/>
  <c r="J274" i="6"/>
  <c r="K273" i="6"/>
  <c r="J273" i="6"/>
  <c r="K272" i="6"/>
  <c r="J272" i="6"/>
  <c r="J271" i="6"/>
  <c r="K271" i="6" s="1"/>
  <c r="K270" i="6"/>
  <c r="J270" i="6"/>
  <c r="J269" i="6"/>
  <c r="K269" i="6" s="1"/>
  <c r="J268" i="6"/>
  <c r="K268" i="6" s="1"/>
  <c r="J267" i="6"/>
  <c r="K267" i="6" s="1"/>
  <c r="J266" i="6"/>
  <c r="K266" i="6" s="1"/>
  <c r="K265" i="6"/>
  <c r="J265" i="6"/>
  <c r="K264" i="6"/>
  <c r="J264" i="6"/>
  <c r="J263" i="6"/>
  <c r="K263" i="6" s="1"/>
  <c r="J262" i="6"/>
  <c r="K262" i="6" s="1"/>
  <c r="J261" i="6"/>
  <c r="K261" i="6" s="1"/>
  <c r="K260" i="6"/>
  <c r="J260" i="6"/>
  <c r="J259" i="6"/>
  <c r="K259" i="6" s="1"/>
  <c r="K258" i="6"/>
  <c r="J258" i="6"/>
  <c r="J257" i="6"/>
  <c r="K257" i="6" s="1"/>
  <c r="J256" i="6"/>
  <c r="K256" i="6" s="1"/>
  <c r="J255" i="6"/>
  <c r="K255" i="6" s="1"/>
  <c r="J254" i="6"/>
  <c r="K254" i="6" s="1"/>
  <c r="J253" i="6"/>
  <c r="K253" i="6" s="1"/>
  <c r="K252" i="6"/>
  <c r="J252" i="6"/>
  <c r="J251" i="6"/>
  <c r="K251" i="6" s="1"/>
  <c r="K250" i="6"/>
  <c r="J250" i="6"/>
  <c r="K249" i="6"/>
  <c r="J249" i="6"/>
  <c r="J248" i="6"/>
  <c r="K248" i="6" s="1"/>
  <c r="J247" i="6"/>
  <c r="K247" i="6" s="1"/>
  <c r="J246" i="6"/>
  <c r="K246" i="6" s="1"/>
  <c r="J245" i="6"/>
  <c r="K245" i="6" s="1"/>
  <c r="J244" i="6"/>
  <c r="K244" i="6" s="1"/>
  <c r="J243" i="6"/>
  <c r="K243" i="6" s="1"/>
  <c r="K242" i="6"/>
  <c r="J242" i="6"/>
  <c r="K241" i="6"/>
  <c r="J241" i="6"/>
  <c r="K240" i="6"/>
  <c r="J240" i="6"/>
  <c r="J239" i="6"/>
  <c r="K239" i="6" s="1"/>
  <c r="J238" i="6"/>
  <c r="K238" i="6" s="1"/>
  <c r="K237" i="6"/>
  <c r="J237" i="6"/>
  <c r="J236" i="6"/>
  <c r="K236" i="6" s="1"/>
  <c r="J235" i="6"/>
  <c r="K235" i="6" s="1"/>
  <c r="K234" i="6"/>
  <c r="J234" i="6"/>
  <c r="J233" i="6"/>
  <c r="K233" i="6" s="1"/>
  <c r="K232" i="6"/>
  <c r="J232" i="6"/>
  <c r="J231" i="6"/>
  <c r="K231" i="6" s="1"/>
  <c r="J230" i="6"/>
  <c r="K230" i="6" s="1"/>
  <c r="K229" i="6"/>
  <c r="J229" i="6"/>
  <c r="J228" i="6"/>
  <c r="K228" i="6" s="1"/>
  <c r="J227" i="6"/>
  <c r="K227" i="6" s="1"/>
  <c r="K226" i="6"/>
  <c r="J226" i="6"/>
  <c r="J225" i="6"/>
  <c r="K225" i="6" s="1"/>
  <c r="K224" i="6"/>
  <c r="J224" i="6"/>
  <c r="J223" i="6"/>
  <c r="K223" i="6" s="1"/>
  <c r="J222" i="6"/>
  <c r="K222" i="6" s="1"/>
  <c r="J221" i="6"/>
  <c r="K221" i="6" s="1"/>
  <c r="J220" i="6"/>
  <c r="K220" i="6" s="1"/>
  <c r="J219" i="6"/>
  <c r="K219" i="6" s="1"/>
  <c r="K218" i="6"/>
  <c r="J218" i="6"/>
  <c r="K217" i="6"/>
  <c r="J217" i="6"/>
  <c r="J216" i="6"/>
  <c r="K216" i="6" s="1"/>
  <c r="J215" i="6"/>
  <c r="K215" i="6" s="1"/>
  <c r="K214" i="6"/>
  <c r="J214" i="6"/>
  <c r="J213" i="6"/>
  <c r="K213" i="6" s="1"/>
  <c r="J212" i="6"/>
  <c r="K212" i="6" s="1"/>
  <c r="J211" i="6"/>
  <c r="K211" i="6" s="1"/>
  <c r="J210" i="6"/>
  <c r="K210" i="6" s="1"/>
  <c r="K209" i="6"/>
  <c r="J209" i="6"/>
  <c r="K208" i="6"/>
  <c r="J208" i="6"/>
  <c r="J207" i="6"/>
  <c r="K207" i="6" s="1"/>
  <c r="K206" i="6"/>
  <c r="J206" i="6"/>
  <c r="J205" i="6"/>
  <c r="K205" i="6" s="1"/>
  <c r="J204" i="6"/>
  <c r="K204" i="6" s="1"/>
  <c r="J203" i="6"/>
  <c r="K203" i="6" s="1"/>
  <c r="J202" i="6"/>
  <c r="K202" i="6" s="1"/>
  <c r="K201" i="6"/>
  <c r="J201" i="6"/>
  <c r="K200" i="6"/>
  <c r="J200" i="6"/>
  <c r="J199" i="6"/>
  <c r="K199" i="6" s="1"/>
  <c r="J198" i="6"/>
  <c r="K198" i="6" s="1"/>
  <c r="J197" i="6"/>
  <c r="K197" i="6" s="1"/>
  <c r="K196" i="6"/>
  <c r="J196" i="6"/>
  <c r="J195" i="6"/>
  <c r="K195" i="6" s="1"/>
  <c r="K194" i="6"/>
  <c r="J194" i="6"/>
  <c r="K193" i="6"/>
  <c r="J193" i="6"/>
  <c r="J192" i="6"/>
  <c r="K192" i="6" s="1"/>
  <c r="J191" i="6"/>
  <c r="K191" i="6" s="1"/>
  <c r="J190" i="6"/>
  <c r="K190" i="6" s="1"/>
  <c r="J189" i="6"/>
  <c r="K189" i="6" s="1"/>
  <c r="K188" i="6"/>
  <c r="J188" i="6"/>
  <c r="J187" i="6"/>
  <c r="K187" i="6" s="1"/>
  <c r="K186" i="6"/>
  <c r="J186" i="6"/>
  <c r="K185" i="6"/>
  <c r="J185" i="6"/>
  <c r="K184" i="6"/>
  <c r="J184" i="6"/>
  <c r="J183" i="6"/>
  <c r="K183" i="6" s="1"/>
  <c r="J182" i="6"/>
  <c r="K182" i="6" s="1"/>
  <c r="J181" i="6"/>
  <c r="K181" i="6" s="1"/>
  <c r="J180" i="6"/>
  <c r="K180" i="6" s="1"/>
  <c r="J179" i="6"/>
  <c r="K179" i="6" s="1"/>
  <c r="J178" i="6"/>
  <c r="K178" i="6" s="1"/>
  <c r="K177" i="6"/>
  <c r="J177" i="6"/>
  <c r="K176" i="6"/>
  <c r="J176" i="6"/>
  <c r="J175" i="6"/>
  <c r="K175" i="6" s="1"/>
  <c r="J174" i="6"/>
  <c r="K174" i="6" s="1"/>
  <c r="K173" i="6"/>
  <c r="J173" i="6"/>
  <c r="J172" i="6"/>
  <c r="K172" i="6" s="1"/>
  <c r="J171" i="6"/>
  <c r="K171" i="6" s="1"/>
  <c r="K170" i="6"/>
  <c r="J170" i="6"/>
  <c r="J169" i="6"/>
  <c r="K169" i="6" s="1"/>
  <c r="K168" i="6"/>
  <c r="J168" i="6"/>
  <c r="J167" i="6"/>
  <c r="K167" i="6" s="1"/>
  <c r="J166" i="6"/>
  <c r="K166" i="6" s="1"/>
  <c r="J165" i="6"/>
  <c r="K165" i="6" s="1"/>
  <c r="J164" i="6"/>
  <c r="K164" i="6" s="1"/>
  <c r="J163" i="6"/>
  <c r="K163" i="6" s="1"/>
  <c r="J162" i="6"/>
  <c r="K162" i="6" s="1"/>
  <c r="K161" i="6"/>
  <c r="J161" i="6"/>
  <c r="J160" i="6"/>
  <c r="K160" i="6" s="1"/>
  <c r="J159" i="6"/>
  <c r="K159" i="6" s="1"/>
  <c r="K158" i="6"/>
  <c r="J158" i="6"/>
  <c r="J157" i="6"/>
  <c r="K157" i="6" s="1"/>
  <c r="J156" i="6"/>
  <c r="K156" i="6" s="1"/>
  <c r="J155" i="6"/>
  <c r="K155" i="6" s="1"/>
  <c r="K154" i="6"/>
  <c r="J154" i="6"/>
  <c r="J153" i="6"/>
  <c r="K153" i="6" s="1"/>
  <c r="K152" i="6"/>
  <c r="J152" i="6"/>
  <c r="J151" i="6"/>
  <c r="K151" i="6" s="1"/>
  <c r="K150" i="6"/>
  <c r="J150" i="6"/>
  <c r="K149" i="6"/>
  <c r="J149" i="6"/>
  <c r="J148" i="6"/>
  <c r="K148" i="6" s="1"/>
  <c r="J147" i="6"/>
  <c r="K147" i="6" s="1"/>
  <c r="J146" i="6"/>
  <c r="K146" i="6" s="1"/>
  <c r="K145" i="6"/>
  <c r="J145" i="6"/>
  <c r="J144" i="6"/>
  <c r="K144" i="6" s="1"/>
  <c r="J143" i="6"/>
  <c r="K143" i="6" s="1"/>
  <c r="J142" i="6"/>
  <c r="K142" i="6" s="1"/>
  <c r="K141" i="6"/>
  <c r="J141" i="6"/>
  <c r="K140" i="6"/>
  <c r="J140" i="6"/>
  <c r="J139" i="6"/>
  <c r="K139" i="6" s="1"/>
  <c r="K138" i="6"/>
  <c r="J138" i="6"/>
  <c r="J137" i="6"/>
  <c r="K137" i="6" s="1"/>
  <c r="K136" i="6"/>
  <c r="J136" i="6"/>
  <c r="J135" i="6"/>
  <c r="K135" i="6" s="1"/>
  <c r="K134" i="6"/>
  <c r="J134" i="6"/>
  <c r="J133" i="6"/>
  <c r="K133" i="6" s="1"/>
  <c r="K132" i="6"/>
  <c r="J132" i="6"/>
  <c r="J131" i="6"/>
  <c r="K131" i="6" s="1"/>
  <c r="J130" i="6"/>
  <c r="K130" i="6" s="1"/>
  <c r="K129" i="6"/>
  <c r="J129" i="6"/>
  <c r="J128" i="6"/>
  <c r="K128" i="6" s="1"/>
  <c r="J127" i="6"/>
  <c r="K127" i="6" s="1"/>
  <c r="K126" i="6"/>
  <c r="J126" i="6"/>
  <c r="K125" i="6"/>
  <c r="J125" i="6"/>
  <c r="J124" i="6"/>
  <c r="K124" i="6" s="1"/>
  <c r="J123" i="6"/>
  <c r="K123" i="6" s="1"/>
  <c r="K122" i="6"/>
  <c r="J122" i="6"/>
  <c r="J121" i="6"/>
  <c r="K121" i="6" s="1"/>
  <c r="K120" i="6"/>
  <c r="J120" i="6"/>
  <c r="J119" i="6"/>
  <c r="K119" i="6" s="1"/>
  <c r="J118" i="6"/>
  <c r="K118" i="6" s="1"/>
  <c r="K117" i="6"/>
  <c r="J117" i="6"/>
  <c r="K116" i="6"/>
  <c r="J116" i="6"/>
  <c r="J115" i="6"/>
  <c r="K115" i="6" s="1"/>
  <c r="J114" i="6"/>
  <c r="K114" i="6" s="1"/>
  <c r="K113" i="6"/>
  <c r="J113" i="6"/>
  <c r="J112" i="6"/>
  <c r="K112" i="6" s="1"/>
  <c r="J111" i="6"/>
  <c r="K111" i="6" s="1"/>
  <c r="J110" i="6"/>
  <c r="K110" i="6" s="1"/>
  <c r="J109" i="6"/>
  <c r="K109" i="6" s="1"/>
  <c r="K108" i="6"/>
  <c r="J108" i="6"/>
  <c r="J107" i="6"/>
  <c r="K107" i="6" s="1"/>
  <c r="K106" i="6"/>
  <c r="J106" i="6"/>
  <c r="J105" i="6"/>
  <c r="K105" i="6" s="1"/>
  <c r="K104" i="6"/>
  <c r="J104" i="6"/>
  <c r="J103" i="6"/>
  <c r="K103" i="6" s="1"/>
  <c r="J102" i="6"/>
  <c r="K102" i="6" s="1"/>
  <c r="J101" i="6"/>
  <c r="K101" i="6" s="1"/>
  <c r="J100" i="6"/>
  <c r="K100" i="6" s="1"/>
  <c r="J99" i="6"/>
  <c r="K99" i="6" s="1"/>
  <c r="J98" i="6"/>
  <c r="K98" i="6" s="1"/>
  <c r="K97" i="6"/>
  <c r="J97" i="6"/>
  <c r="J96" i="6"/>
  <c r="K96" i="6" s="1"/>
  <c r="J95" i="6"/>
  <c r="K95" i="6" s="1"/>
  <c r="K94" i="6"/>
  <c r="J94" i="6"/>
  <c r="J93" i="6"/>
  <c r="K93" i="6" s="1"/>
  <c r="J92" i="6"/>
  <c r="K92" i="6" s="1"/>
  <c r="J91" i="6"/>
  <c r="K91" i="6" s="1"/>
  <c r="K90" i="6"/>
  <c r="J90" i="6"/>
  <c r="J89" i="6"/>
  <c r="K89" i="6" s="1"/>
  <c r="K88" i="6"/>
  <c r="J88" i="6"/>
  <c r="J87" i="6"/>
  <c r="K87" i="6" s="1"/>
  <c r="J86" i="6"/>
  <c r="K86" i="6" s="1"/>
  <c r="K85" i="6"/>
  <c r="J85" i="6"/>
  <c r="J84" i="6"/>
  <c r="K84" i="6" s="1"/>
  <c r="J83" i="6"/>
  <c r="K83" i="6" s="1"/>
  <c r="J82" i="6"/>
  <c r="K82" i="6" s="1"/>
  <c r="K81" i="6"/>
  <c r="J81" i="6"/>
  <c r="J80" i="6"/>
  <c r="K80" i="6" s="1"/>
  <c r="J79" i="6"/>
  <c r="K79" i="6" s="1"/>
  <c r="J78" i="6"/>
  <c r="K78" i="6" s="1"/>
  <c r="K77" i="6"/>
  <c r="J77" i="6"/>
  <c r="K76" i="6"/>
  <c r="J76" i="6"/>
  <c r="J75" i="6"/>
  <c r="K75" i="6" s="1"/>
  <c r="K74" i="6"/>
  <c r="J74" i="6"/>
  <c r="J73" i="6"/>
  <c r="K73" i="6" s="1"/>
  <c r="K72" i="6"/>
  <c r="J72" i="6"/>
  <c r="J71" i="6"/>
  <c r="K71" i="6" s="1"/>
  <c r="J70" i="6"/>
  <c r="K70" i="6" s="1"/>
  <c r="J69" i="6"/>
  <c r="K69" i="6" s="1"/>
  <c r="J68" i="6"/>
  <c r="K68" i="6" s="1"/>
  <c r="J67" i="6"/>
  <c r="K67" i="6" s="1"/>
  <c r="J66" i="6"/>
  <c r="K66" i="6" s="1"/>
  <c r="K65" i="6"/>
  <c r="J65" i="6"/>
  <c r="J64" i="6"/>
  <c r="K64" i="6" s="1"/>
  <c r="J63" i="6"/>
  <c r="K63" i="6" s="1"/>
  <c r="K62" i="6"/>
  <c r="J62" i="6"/>
  <c r="K61" i="6"/>
  <c r="J61" i="6"/>
  <c r="J60" i="6"/>
  <c r="K60" i="6" s="1"/>
  <c r="J59" i="6"/>
  <c r="K59" i="6" s="1"/>
  <c r="K58" i="6"/>
  <c r="J58" i="6"/>
  <c r="J57" i="6"/>
  <c r="K57" i="6" s="1"/>
  <c r="K56" i="6"/>
  <c r="J56" i="6"/>
  <c r="J55" i="6"/>
  <c r="K55" i="6" s="1"/>
  <c r="K54" i="6"/>
  <c r="J54" i="6"/>
  <c r="K53" i="6"/>
  <c r="J53" i="6"/>
  <c r="J52" i="6"/>
  <c r="K52" i="6" s="1"/>
  <c r="J51" i="6"/>
  <c r="K51" i="6" s="1"/>
  <c r="J50" i="6"/>
  <c r="K50" i="6" s="1"/>
  <c r="K49" i="6"/>
  <c r="J49" i="6"/>
  <c r="J48" i="6"/>
  <c r="K48" i="6" s="1"/>
  <c r="J47" i="6"/>
  <c r="K47" i="6" s="1"/>
  <c r="J46" i="6"/>
  <c r="K46" i="6" s="1"/>
  <c r="J45" i="6"/>
  <c r="K45" i="6" s="1"/>
  <c r="K44" i="6"/>
  <c r="J44" i="6"/>
  <c r="J43" i="6"/>
  <c r="K43" i="6" s="1"/>
  <c r="K42" i="6"/>
  <c r="J42" i="6"/>
  <c r="J41" i="6"/>
  <c r="K41" i="6" s="1"/>
  <c r="K40" i="6"/>
  <c r="J40" i="6"/>
  <c r="J39" i="6"/>
  <c r="K39" i="6" s="1"/>
  <c r="K38" i="6"/>
  <c r="J38" i="6"/>
  <c r="J37" i="6"/>
  <c r="K37" i="6" s="1"/>
  <c r="K36" i="6"/>
  <c r="J36" i="6"/>
  <c r="J35" i="6"/>
  <c r="K35" i="6" s="1"/>
  <c r="J34" i="6"/>
  <c r="K34" i="6" s="1"/>
  <c r="K33" i="6"/>
  <c r="J33" i="6"/>
  <c r="J32" i="6"/>
  <c r="K32" i="6" s="1"/>
  <c r="J31" i="6"/>
  <c r="K31" i="6" s="1"/>
  <c r="K30" i="6"/>
  <c r="J30" i="6"/>
  <c r="J29" i="6"/>
  <c r="K29" i="6" s="1"/>
  <c r="J28" i="6"/>
  <c r="K28" i="6" s="1"/>
  <c r="J27" i="6"/>
  <c r="K27" i="6" s="1"/>
  <c r="K26" i="6"/>
  <c r="J26" i="6"/>
  <c r="J25" i="6"/>
  <c r="K25" i="6" s="1"/>
  <c r="K24" i="6"/>
  <c r="J24" i="6"/>
  <c r="J23" i="6"/>
  <c r="K23" i="6" s="1"/>
  <c r="J22" i="6"/>
  <c r="K22" i="6" s="1"/>
  <c r="K21" i="6"/>
  <c r="J21" i="6"/>
  <c r="K20" i="6"/>
  <c r="J20" i="6"/>
  <c r="J19" i="6"/>
  <c r="K19" i="6" s="1"/>
  <c r="J18" i="6"/>
  <c r="K18" i="6" s="1"/>
  <c r="K17" i="6"/>
  <c r="J17" i="6"/>
  <c r="J16" i="6"/>
  <c r="K16" i="6" s="1"/>
  <c r="J15" i="6"/>
  <c r="K15" i="6" s="1"/>
  <c r="J14" i="6"/>
  <c r="K14" i="6" s="1"/>
  <c r="K13" i="6"/>
  <c r="J13" i="6"/>
  <c r="K12" i="6"/>
  <c r="J12" i="6"/>
  <c r="J11" i="6"/>
  <c r="R385" i="5"/>
  <c r="O383" i="5"/>
  <c r="R383" i="5" s="1"/>
  <c r="N383" i="5"/>
  <c r="P383" i="5" s="1"/>
  <c r="Q383" i="5" s="1"/>
  <c r="I383" i="5"/>
  <c r="C383" i="5"/>
  <c r="R382" i="5"/>
  <c r="O382" i="5"/>
  <c r="N382" i="5"/>
  <c r="P382" i="5" s="1"/>
  <c r="Q382" i="5" s="1"/>
  <c r="I382" i="5"/>
  <c r="C382" i="5"/>
  <c r="R381" i="5"/>
  <c r="P381" i="5"/>
  <c r="Q381" i="5" s="1"/>
  <c r="O381" i="5"/>
  <c r="N381" i="5"/>
  <c r="I381" i="5"/>
  <c r="C381" i="5"/>
  <c r="P380" i="5"/>
  <c r="Q380" i="5" s="1"/>
  <c r="O380" i="5"/>
  <c r="R380" i="5" s="1"/>
  <c r="N380" i="5"/>
  <c r="I380" i="5"/>
  <c r="C380" i="5"/>
  <c r="O379" i="5"/>
  <c r="R379" i="5" s="1"/>
  <c r="N379" i="5"/>
  <c r="I379" i="5"/>
  <c r="C379" i="5"/>
  <c r="R378" i="5"/>
  <c r="O378" i="5"/>
  <c r="N378" i="5"/>
  <c r="P378" i="5" s="1"/>
  <c r="Q378" i="5" s="1"/>
  <c r="I378" i="5"/>
  <c r="C378" i="5"/>
  <c r="R377" i="5"/>
  <c r="P377" i="5"/>
  <c r="Q377" i="5" s="1"/>
  <c r="O377" i="5"/>
  <c r="N377" i="5"/>
  <c r="I377" i="5"/>
  <c r="C377" i="5"/>
  <c r="P376" i="5"/>
  <c r="Q376" i="5" s="1"/>
  <c r="O376" i="5"/>
  <c r="R376" i="5" s="1"/>
  <c r="N376" i="5"/>
  <c r="I376" i="5"/>
  <c r="C376" i="5"/>
  <c r="O375" i="5"/>
  <c r="R375" i="5" s="1"/>
  <c r="N375" i="5"/>
  <c r="I375" i="5"/>
  <c r="C375" i="5"/>
  <c r="R374" i="5"/>
  <c r="O374" i="5"/>
  <c r="N374" i="5"/>
  <c r="P374" i="5" s="1"/>
  <c r="Q374" i="5" s="1"/>
  <c r="I374" i="5"/>
  <c r="C374" i="5"/>
  <c r="R373" i="5"/>
  <c r="P373" i="5"/>
  <c r="Q373" i="5" s="1"/>
  <c r="O373" i="5"/>
  <c r="N373" i="5"/>
  <c r="I373" i="5"/>
  <c r="C373" i="5"/>
  <c r="P372" i="5"/>
  <c r="Q372" i="5" s="1"/>
  <c r="O372" i="5"/>
  <c r="R372" i="5" s="1"/>
  <c r="N372" i="5"/>
  <c r="I372" i="5"/>
  <c r="C372" i="5"/>
  <c r="O371" i="5"/>
  <c r="R371" i="5" s="1"/>
  <c r="N371" i="5"/>
  <c r="P371" i="5" s="1"/>
  <c r="Q371" i="5" s="1"/>
  <c r="I371" i="5"/>
  <c r="C371" i="5"/>
  <c r="R370" i="5"/>
  <c r="O370" i="5"/>
  <c r="N370" i="5"/>
  <c r="P370" i="5" s="1"/>
  <c r="Q370" i="5" s="1"/>
  <c r="I370" i="5"/>
  <c r="C370" i="5"/>
  <c r="R369" i="5"/>
  <c r="O369" i="5"/>
  <c r="N369" i="5"/>
  <c r="P369" i="5" s="1"/>
  <c r="Q369" i="5" s="1"/>
  <c r="I369" i="5"/>
  <c r="C369" i="5"/>
  <c r="R368" i="5"/>
  <c r="P368" i="5"/>
  <c r="Q368" i="5" s="1"/>
  <c r="O368" i="5"/>
  <c r="N368" i="5"/>
  <c r="I368" i="5"/>
  <c r="C368" i="5"/>
  <c r="O367" i="5"/>
  <c r="R367" i="5" s="1"/>
  <c r="N367" i="5"/>
  <c r="I367" i="5"/>
  <c r="C367" i="5"/>
  <c r="O366" i="5"/>
  <c r="R366" i="5" s="1"/>
  <c r="N366" i="5"/>
  <c r="I366" i="5"/>
  <c r="C366" i="5"/>
  <c r="O365" i="5"/>
  <c r="R365" i="5" s="1"/>
  <c r="N365" i="5"/>
  <c r="P365" i="5" s="1"/>
  <c r="Q365" i="5" s="1"/>
  <c r="I365" i="5"/>
  <c r="C365" i="5"/>
  <c r="O364" i="5"/>
  <c r="R364" i="5" s="1"/>
  <c r="N364" i="5"/>
  <c r="I364" i="5"/>
  <c r="C364" i="5"/>
  <c r="R363" i="5"/>
  <c r="O363" i="5"/>
  <c r="N363" i="5"/>
  <c r="P363" i="5" s="1"/>
  <c r="Q363" i="5" s="1"/>
  <c r="I363" i="5"/>
  <c r="C363" i="5"/>
  <c r="R362" i="5"/>
  <c r="O362" i="5"/>
  <c r="N362" i="5"/>
  <c r="I362" i="5"/>
  <c r="C362" i="5"/>
  <c r="O361" i="5"/>
  <c r="R361" i="5" s="1"/>
  <c r="N361" i="5"/>
  <c r="I361" i="5"/>
  <c r="C361" i="5"/>
  <c r="R360" i="5"/>
  <c r="O360" i="5"/>
  <c r="N360" i="5"/>
  <c r="I360" i="5"/>
  <c r="C360" i="5"/>
  <c r="R359" i="5"/>
  <c r="O359" i="5"/>
  <c r="N359" i="5"/>
  <c r="P359" i="5" s="1"/>
  <c r="Q359" i="5" s="1"/>
  <c r="I359" i="5"/>
  <c r="C359" i="5"/>
  <c r="O358" i="5"/>
  <c r="R358" i="5" s="1"/>
  <c r="N358" i="5"/>
  <c r="I358" i="5"/>
  <c r="C358" i="5"/>
  <c r="Q357" i="5"/>
  <c r="O357" i="5"/>
  <c r="R357" i="5" s="1"/>
  <c r="N357" i="5"/>
  <c r="P357" i="5" s="1"/>
  <c r="I357" i="5"/>
  <c r="C357" i="5"/>
  <c r="O356" i="5"/>
  <c r="R356" i="5" s="1"/>
  <c r="N356" i="5"/>
  <c r="I356" i="5"/>
  <c r="C356" i="5"/>
  <c r="R355" i="5"/>
  <c r="O355" i="5"/>
  <c r="N355" i="5"/>
  <c r="P355" i="5" s="1"/>
  <c r="Q355" i="5" s="1"/>
  <c r="I355" i="5"/>
  <c r="C355" i="5"/>
  <c r="R354" i="5"/>
  <c r="O354" i="5"/>
  <c r="N354" i="5"/>
  <c r="I354" i="5"/>
  <c r="C354" i="5"/>
  <c r="O353" i="5"/>
  <c r="R353" i="5" s="1"/>
  <c r="N353" i="5"/>
  <c r="I353" i="5"/>
  <c r="C353" i="5"/>
  <c r="R352" i="5"/>
  <c r="O352" i="5"/>
  <c r="N352" i="5"/>
  <c r="P352" i="5" s="1"/>
  <c r="Q352" i="5" s="1"/>
  <c r="I352" i="5"/>
  <c r="C352" i="5"/>
  <c r="R351" i="5"/>
  <c r="Q351" i="5"/>
  <c r="O351" i="5"/>
  <c r="N351" i="5"/>
  <c r="P351" i="5" s="1"/>
  <c r="I351" i="5"/>
  <c r="C351" i="5"/>
  <c r="R350" i="5"/>
  <c r="O350" i="5"/>
  <c r="N350" i="5"/>
  <c r="I350" i="5"/>
  <c r="C350" i="5"/>
  <c r="Q349" i="5"/>
  <c r="O349" i="5"/>
  <c r="R349" i="5" s="1"/>
  <c r="N349" i="5"/>
  <c r="P349" i="5" s="1"/>
  <c r="I349" i="5"/>
  <c r="C349" i="5"/>
  <c r="O348" i="5"/>
  <c r="R348" i="5" s="1"/>
  <c r="N348" i="5"/>
  <c r="I348" i="5"/>
  <c r="C348" i="5"/>
  <c r="R347" i="5"/>
  <c r="O347" i="5"/>
  <c r="N347" i="5"/>
  <c r="P347" i="5" s="1"/>
  <c r="Q347" i="5" s="1"/>
  <c r="I347" i="5"/>
  <c r="C347" i="5"/>
  <c r="R346" i="5"/>
  <c r="O346" i="5"/>
  <c r="N346" i="5"/>
  <c r="I346" i="5"/>
  <c r="C346" i="5"/>
  <c r="O345" i="5"/>
  <c r="R345" i="5" s="1"/>
  <c r="N345" i="5"/>
  <c r="I345" i="5"/>
  <c r="C345" i="5"/>
  <c r="O344" i="5"/>
  <c r="R344" i="5" s="1"/>
  <c r="N344" i="5"/>
  <c r="P344" i="5" s="1"/>
  <c r="Q344" i="5" s="1"/>
  <c r="I344" i="5"/>
  <c r="C344" i="5"/>
  <c r="R343" i="5"/>
  <c r="O343" i="5"/>
  <c r="N343" i="5"/>
  <c r="P343" i="5" s="1"/>
  <c r="Q343" i="5" s="1"/>
  <c r="I343" i="5"/>
  <c r="C343" i="5"/>
  <c r="R342" i="5"/>
  <c r="O342" i="5"/>
  <c r="N342" i="5"/>
  <c r="I342" i="5"/>
  <c r="C342" i="5"/>
  <c r="Q341" i="5"/>
  <c r="O341" i="5"/>
  <c r="R341" i="5" s="1"/>
  <c r="N341" i="5"/>
  <c r="P341" i="5" s="1"/>
  <c r="I341" i="5"/>
  <c r="C341" i="5"/>
  <c r="O340" i="5"/>
  <c r="R340" i="5" s="1"/>
  <c r="N340" i="5"/>
  <c r="I340" i="5"/>
  <c r="C340" i="5"/>
  <c r="R339" i="5"/>
  <c r="O339" i="5"/>
  <c r="N339" i="5"/>
  <c r="P339" i="5" s="1"/>
  <c r="Q339" i="5" s="1"/>
  <c r="I339" i="5"/>
  <c r="C339" i="5"/>
  <c r="R338" i="5"/>
  <c r="O338" i="5"/>
  <c r="N338" i="5"/>
  <c r="I338" i="5"/>
  <c r="C338" i="5"/>
  <c r="O337" i="5"/>
  <c r="R337" i="5" s="1"/>
  <c r="N337" i="5"/>
  <c r="I337" i="5"/>
  <c r="C337" i="5"/>
  <c r="R336" i="5"/>
  <c r="O336" i="5"/>
  <c r="N336" i="5"/>
  <c r="P336" i="5" s="1"/>
  <c r="Q336" i="5" s="1"/>
  <c r="I336" i="5"/>
  <c r="C336" i="5"/>
  <c r="R335" i="5"/>
  <c r="Q335" i="5"/>
  <c r="O335" i="5"/>
  <c r="N335" i="5"/>
  <c r="P335" i="5" s="1"/>
  <c r="I335" i="5"/>
  <c r="C335" i="5"/>
  <c r="R334" i="5"/>
  <c r="O334" i="5"/>
  <c r="N334" i="5"/>
  <c r="I334" i="5"/>
  <c r="C334" i="5"/>
  <c r="O333" i="5"/>
  <c r="R333" i="5" s="1"/>
  <c r="N333" i="5"/>
  <c r="P333" i="5" s="1"/>
  <c r="Q333" i="5" s="1"/>
  <c r="I333" i="5"/>
  <c r="C333" i="5"/>
  <c r="O332" i="5"/>
  <c r="R332" i="5" s="1"/>
  <c r="N332" i="5"/>
  <c r="I332" i="5"/>
  <c r="C332" i="5"/>
  <c r="R331" i="5"/>
  <c r="O331" i="5"/>
  <c r="N331" i="5"/>
  <c r="P331" i="5" s="1"/>
  <c r="Q331" i="5" s="1"/>
  <c r="I331" i="5"/>
  <c r="C331" i="5"/>
  <c r="R330" i="5"/>
  <c r="O330" i="5"/>
  <c r="N330" i="5"/>
  <c r="I330" i="5"/>
  <c r="C330" i="5"/>
  <c r="O329" i="5"/>
  <c r="R329" i="5" s="1"/>
  <c r="N329" i="5"/>
  <c r="I329" i="5"/>
  <c r="C329" i="5"/>
  <c r="O328" i="5"/>
  <c r="R328" i="5" s="1"/>
  <c r="N328" i="5"/>
  <c r="I328" i="5"/>
  <c r="C328" i="5"/>
  <c r="R327" i="5"/>
  <c r="O327" i="5"/>
  <c r="N327" i="5"/>
  <c r="P327" i="5" s="1"/>
  <c r="Q327" i="5" s="1"/>
  <c r="I327" i="5"/>
  <c r="C327" i="5"/>
  <c r="O326" i="5"/>
  <c r="R326" i="5" s="1"/>
  <c r="N326" i="5"/>
  <c r="I326" i="5"/>
  <c r="C326" i="5"/>
  <c r="Q325" i="5"/>
  <c r="O325" i="5"/>
  <c r="R325" i="5" s="1"/>
  <c r="N325" i="5"/>
  <c r="P325" i="5" s="1"/>
  <c r="I325" i="5"/>
  <c r="C325" i="5"/>
  <c r="O324" i="5"/>
  <c r="R324" i="5" s="1"/>
  <c r="N324" i="5"/>
  <c r="I324" i="5"/>
  <c r="C324" i="5"/>
  <c r="R323" i="5"/>
  <c r="O323" i="5"/>
  <c r="N323" i="5"/>
  <c r="P323" i="5" s="1"/>
  <c r="Q323" i="5" s="1"/>
  <c r="I323" i="5"/>
  <c r="C323" i="5"/>
  <c r="R322" i="5"/>
  <c r="O322" i="5"/>
  <c r="N322" i="5"/>
  <c r="I322" i="5"/>
  <c r="C322" i="5"/>
  <c r="O321" i="5"/>
  <c r="R321" i="5" s="1"/>
  <c r="N321" i="5"/>
  <c r="I321" i="5"/>
  <c r="C321" i="5"/>
  <c r="R320" i="5"/>
  <c r="O320" i="5"/>
  <c r="N320" i="5"/>
  <c r="P320" i="5" s="1"/>
  <c r="Q320" i="5" s="1"/>
  <c r="I320" i="5"/>
  <c r="C320" i="5"/>
  <c r="R319" i="5"/>
  <c r="Q319" i="5"/>
  <c r="O319" i="5"/>
  <c r="N319" i="5"/>
  <c r="P319" i="5" s="1"/>
  <c r="I319" i="5"/>
  <c r="C319" i="5"/>
  <c r="R318" i="5"/>
  <c r="O318" i="5"/>
  <c r="N318" i="5"/>
  <c r="I318" i="5"/>
  <c r="C318" i="5"/>
  <c r="O317" i="5"/>
  <c r="R317" i="5" s="1"/>
  <c r="N317" i="5"/>
  <c r="P317" i="5" s="1"/>
  <c r="Q317" i="5" s="1"/>
  <c r="I317" i="5"/>
  <c r="C317" i="5"/>
  <c r="O316" i="5"/>
  <c r="R316" i="5" s="1"/>
  <c r="N316" i="5"/>
  <c r="I316" i="5"/>
  <c r="C316" i="5"/>
  <c r="R315" i="5"/>
  <c r="O315" i="5"/>
  <c r="N315" i="5"/>
  <c r="P315" i="5" s="1"/>
  <c r="Q315" i="5" s="1"/>
  <c r="I315" i="5"/>
  <c r="C315" i="5"/>
  <c r="R314" i="5"/>
  <c r="O314" i="5"/>
  <c r="N314" i="5"/>
  <c r="I314" i="5"/>
  <c r="C314" i="5"/>
  <c r="O313" i="5"/>
  <c r="R313" i="5" s="1"/>
  <c r="N313" i="5"/>
  <c r="I313" i="5"/>
  <c r="C313" i="5"/>
  <c r="O312" i="5"/>
  <c r="R312" i="5" s="1"/>
  <c r="N312" i="5"/>
  <c r="P312" i="5" s="1"/>
  <c r="Q312" i="5" s="1"/>
  <c r="I312" i="5"/>
  <c r="C312" i="5"/>
  <c r="R311" i="5"/>
  <c r="O311" i="5"/>
  <c r="N311" i="5"/>
  <c r="P311" i="5" s="1"/>
  <c r="Q311" i="5" s="1"/>
  <c r="I311" i="5"/>
  <c r="C311" i="5"/>
  <c r="R310" i="5"/>
  <c r="O310" i="5"/>
  <c r="N310" i="5"/>
  <c r="I310" i="5"/>
  <c r="C310" i="5"/>
  <c r="Q309" i="5"/>
  <c r="O309" i="5"/>
  <c r="R309" i="5" s="1"/>
  <c r="N309" i="5"/>
  <c r="P309" i="5" s="1"/>
  <c r="I309" i="5"/>
  <c r="C309" i="5"/>
  <c r="O308" i="5"/>
  <c r="R308" i="5" s="1"/>
  <c r="N308" i="5"/>
  <c r="I308" i="5"/>
  <c r="C308" i="5"/>
  <c r="R307" i="5"/>
  <c r="O307" i="5"/>
  <c r="N307" i="5"/>
  <c r="P307" i="5" s="1"/>
  <c r="Q307" i="5" s="1"/>
  <c r="I307" i="5"/>
  <c r="C307" i="5"/>
  <c r="R306" i="5"/>
  <c r="O306" i="5"/>
  <c r="N306" i="5"/>
  <c r="I306" i="5"/>
  <c r="C306" i="5"/>
  <c r="O305" i="5"/>
  <c r="R305" i="5" s="1"/>
  <c r="N305" i="5"/>
  <c r="I305" i="5"/>
  <c r="C305" i="5"/>
  <c r="R304" i="5"/>
  <c r="O304" i="5"/>
  <c r="N304" i="5"/>
  <c r="I304" i="5"/>
  <c r="C304" i="5"/>
  <c r="R303" i="5"/>
  <c r="Q303" i="5"/>
  <c r="O303" i="5"/>
  <c r="N303" i="5"/>
  <c r="P303" i="5" s="1"/>
  <c r="I303" i="5"/>
  <c r="C303" i="5"/>
  <c r="O302" i="5"/>
  <c r="R302" i="5" s="1"/>
  <c r="N302" i="5"/>
  <c r="I302" i="5"/>
  <c r="C302" i="5"/>
  <c r="O301" i="5"/>
  <c r="R301" i="5" s="1"/>
  <c r="N301" i="5"/>
  <c r="I301" i="5"/>
  <c r="C301" i="5"/>
  <c r="O300" i="5"/>
  <c r="R300" i="5" s="1"/>
  <c r="N300" i="5"/>
  <c r="I300" i="5"/>
  <c r="C300" i="5"/>
  <c r="R299" i="5"/>
  <c r="O299" i="5"/>
  <c r="N299" i="5"/>
  <c r="P299" i="5" s="1"/>
  <c r="Q299" i="5" s="1"/>
  <c r="I299" i="5"/>
  <c r="C299" i="5"/>
  <c r="R298" i="5"/>
  <c r="O298" i="5"/>
  <c r="N298" i="5"/>
  <c r="I298" i="5"/>
  <c r="C298" i="5"/>
  <c r="O297" i="5"/>
  <c r="R297" i="5" s="1"/>
  <c r="N297" i="5"/>
  <c r="I297" i="5"/>
  <c r="C297" i="5"/>
  <c r="R296" i="5"/>
  <c r="O296" i="5"/>
  <c r="N296" i="5"/>
  <c r="I296" i="5"/>
  <c r="C296" i="5"/>
  <c r="R295" i="5"/>
  <c r="Q295" i="5"/>
  <c r="O295" i="5"/>
  <c r="N295" i="5"/>
  <c r="P295" i="5" s="1"/>
  <c r="I295" i="5"/>
  <c r="C295" i="5"/>
  <c r="R294" i="5"/>
  <c r="O294" i="5"/>
  <c r="N294" i="5"/>
  <c r="I294" i="5"/>
  <c r="C294" i="5"/>
  <c r="O293" i="5"/>
  <c r="R293" i="5" s="1"/>
  <c r="N293" i="5"/>
  <c r="I293" i="5"/>
  <c r="C293" i="5"/>
  <c r="R292" i="5"/>
  <c r="O292" i="5"/>
  <c r="N292" i="5"/>
  <c r="P292" i="5" s="1"/>
  <c r="Q292" i="5" s="1"/>
  <c r="I292" i="5"/>
  <c r="C292" i="5"/>
  <c r="R291" i="5"/>
  <c r="Q291" i="5"/>
  <c r="O291" i="5"/>
  <c r="N291" i="5"/>
  <c r="P291" i="5" s="1"/>
  <c r="I291" i="5"/>
  <c r="C291" i="5"/>
  <c r="R290" i="5"/>
  <c r="O290" i="5"/>
  <c r="N290" i="5"/>
  <c r="I290" i="5"/>
  <c r="C290" i="5"/>
  <c r="P289" i="5"/>
  <c r="Q289" i="5" s="1"/>
  <c r="O289" i="5"/>
  <c r="R289" i="5" s="1"/>
  <c r="N289" i="5"/>
  <c r="I289" i="5"/>
  <c r="C289" i="5"/>
  <c r="P288" i="5"/>
  <c r="Q288" i="5" s="1"/>
  <c r="O288" i="5"/>
  <c r="R288" i="5" s="1"/>
  <c r="N288" i="5"/>
  <c r="I288" i="5"/>
  <c r="C288" i="5"/>
  <c r="O287" i="5"/>
  <c r="N287" i="5"/>
  <c r="I287" i="5"/>
  <c r="C287" i="5"/>
  <c r="O286" i="5"/>
  <c r="R286" i="5" s="1"/>
  <c r="N286" i="5"/>
  <c r="I286" i="5"/>
  <c r="C286" i="5"/>
  <c r="Q285" i="5"/>
  <c r="P285" i="5"/>
  <c r="O285" i="5"/>
  <c r="R285" i="5" s="1"/>
  <c r="N285" i="5"/>
  <c r="I285" i="5"/>
  <c r="C285" i="5"/>
  <c r="Q284" i="5"/>
  <c r="P284" i="5"/>
  <c r="O284" i="5"/>
  <c r="R284" i="5" s="1"/>
  <c r="N284" i="5"/>
  <c r="I284" i="5"/>
  <c r="C284" i="5"/>
  <c r="O283" i="5"/>
  <c r="N283" i="5"/>
  <c r="I283" i="5"/>
  <c r="C283" i="5"/>
  <c r="O282" i="5"/>
  <c r="R282" i="5" s="1"/>
  <c r="N282" i="5"/>
  <c r="P282" i="5" s="1"/>
  <c r="Q282" i="5" s="1"/>
  <c r="I282" i="5"/>
  <c r="C282" i="5"/>
  <c r="P281" i="5"/>
  <c r="Q281" i="5" s="1"/>
  <c r="O281" i="5"/>
  <c r="R281" i="5" s="1"/>
  <c r="N281" i="5"/>
  <c r="I281" i="5"/>
  <c r="C281" i="5"/>
  <c r="P280" i="5"/>
  <c r="Q280" i="5" s="1"/>
  <c r="O280" i="5"/>
  <c r="R280" i="5" s="1"/>
  <c r="N280" i="5"/>
  <c r="I280" i="5"/>
  <c r="C280" i="5"/>
  <c r="O279" i="5"/>
  <c r="R279" i="5" s="1"/>
  <c r="N279" i="5"/>
  <c r="P279" i="5" s="1"/>
  <c r="Q279" i="5" s="1"/>
  <c r="I279" i="5"/>
  <c r="C279" i="5"/>
  <c r="O278" i="5"/>
  <c r="R278" i="5" s="1"/>
  <c r="N278" i="5"/>
  <c r="P278" i="5" s="1"/>
  <c r="Q278" i="5" s="1"/>
  <c r="I278" i="5"/>
  <c r="C278" i="5"/>
  <c r="Q277" i="5"/>
  <c r="P277" i="5"/>
  <c r="O277" i="5"/>
  <c r="R277" i="5" s="1"/>
  <c r="N277" i="5"/>
  <c r="I277" i="5"/>
  <c r="C277" i="5"/>
  <c r="P276" i="5"/>
  <c r="Q276" i="5" s="1"/>
  <c r="O276" i="5"/>
  <c r="R276" i="5" s="1"/>
  <c r="N276" i="5"/>
  <c r="I276" i="5"/>
  <c r="C276" i="5"/>
  <c r="P275" i="5"/>
  <c r="Q275" i="5" s="1"/>
  <c r="O275" i="5"/>
  <c r="R275" i="5" s="1"/>
  <c r="N275" i="5"/>
  <c r="I275" i="5"/>
  <c r="C275" i="5"/>
  <c r="O274" i="5"/>
  <c r="R274" i="5" s="1"/>
  <c r="N274" i="5"/>
  <c r="I274" i="5"/>
  <c r="C274" i="5"/>
  <c r="O273" i="5"/>
  <c r="R273" i="5" s="1"/>
  <c r="N273" i="5"/>
  <c r="P273" i="5" s="1"/>
  <c r="Q273" i="5" s="1"/>
  <c r="I273" i="5"/>
  <c r="C273" i="5"/>
  <c r="O272" i="5"/>
  <c r="R272" i="5" s="1"/>
  <c r="N272" i="5"/>
  <c r="I272" i="5"/>
  <c r="C272" i="5"/>
  <c r="O271" i="5"/>
  <c r="R271" i="5" s="1"/>
  <c r="N271" i="5"/>
  <c r="I271" i="5"/>
  <c r="C271" i="5"/>
  <c r="O270" i="5"/>
  <c r="R270" i="5" s="1"/>
  <c r="N270" i="5"/>
  <c r="P270" i="5" s="1"/>
  <c r="Q270" i="5" s="1"/>
  <c r="I270" i="5"/>
  <c r="C270" i="5"/>
  <c r="Q269" i="5"/>
  <c r="P269" i="5"/>
  <c r="O269" i="5"/>
  <c r="R269" i="5" s="1"/>
  <c r="N269" i="5"/>
  <c r="I269" i="5"/>
  <c r="C269" i="5"/>
  <c r="Q268" i="5"/>
  <c r="P268" i="5"/>
  <c r="O268" i="5"/>
  <c r="R268" i="5" s="1"/>
  <c r="N268" i="5"/>
  <c r="I268" i="5"/>
  <c r="C268" i="5"/>
  <c r="O267" i="5"/>
  <c r="N267" i="5"/>
  <c r="I267" i="5"/>
  <c r="C267" i="5"/>
  <c r="O266" i="5"/>
  <c r="R266" i="5" s="1"/>
  <c r="N266" i="5"/>
  <c r="I266" i="5"/>
  <c r="C266" i="5"/>
  <c r="O265" i="5"/>
  <c r="R265" i="5" s="1"/>
  <c r="N265" i="5"/>
  <c r="P265" i="5" s="1"/>
  <c r="Q265" i="5" s="1"/>
  <c r="I265" i="5"/>
  <c r="C265" i="5"/>
  <c r="O264" i="5"/>
  <c r="R264" i="5" s="1"/>
  <c r="N264" i="5"/>
  <c r="I264" i="5"/>
  <c r="C264" i="5"/>
  <c r="O263" i="5"/>
  <c r="R263" i="5" s="1"/>
  <c r="N263" i="5"/>
  <c r="P263" i="5" s="1"/>
  <c r="Q263" i="5" s="1"/>
  <c r="I263" i="5"/>
  <c r="C263" i="5"/>
  <c r="O262" i="5"/>
  <c r="R262" i="5" s="1"/>
  <c r="N262" i="5"/>
  <c r="P262" i="5" s="1"/>
  <c r="Q262" i="5" s="1"/>
  <c r="I262" i="5"/>
  <c r="C262" i="5"/>
  <c r="Q261" i="5"/>
  <c r="P261" i="5"/>
  <c r="O261" i="5"/>
  <c r="R261" i="5" s="1"/>
  <c r="N261" i="5"/>
  <c r="I261" i="5"/>
  <c r="C261" i="5"/>
  <c r="P260" i="5"/>
  <c r="Q260" i="5" s="1"/>
  <c r="O260" i="5"/>
  <c r="R260" i="5" s="1"/>
  <c r="N260" i="5"/>
  <c r="I260" i="5"/>
  <c r="C260" i="5"/>
  <c r="O259" i="5"/>
  <c r="R259" i="5" s="1"/>
  <c r="N259" i="5"/>
  <c r="I259" i="5"/>
  <c r="C259" i="5"/>
  <c r="O258" i="5"/>
  <c r="R258" i="5" s="1"/>
  <c r="N258" i="5"/>
  <c r="P258" i="5" s="1"/>
  <c r="Q258" i="5" s="1"/>
  <c r="I258" i="5"/>
  <c r="C258" i="5"/>
  <c r="P257" i="5"/>
  <c r="Q257" i="5" s="1"/>
  <c r="O257" i="5"/>
  <c r="R257" i="5" s="1"/>
  <c r="N257" i="5"/>
  <c r="I257" i="5"/>
  <c r="C257" i="5"/>
  <c r="O256" i="5"/>
  <c r="N256" i="5"/>
  <c r="I256" i="5"/>
  <c r="C256" i="5"/>
  <c r="O255" i="5"/>
  <c r="R255" i="5" s="1"/>
  <c r="N255" i="5"/>
  <c r="P255" i="5" s="1"/>
  <c r="Q255" i="5" s="1"/>
  <c r="I255" i="5"/>
  <c r="C255" i="5"/>
  <c r="O254" i="5"/>
  <c r="R254" i="5" s="1"/>
  <c r="N254" i="5"/>
  <c r="P254" i="5" s="1"/>
  <c r="Q254" i="5" s="1"/>
  <c r="I254" i="5"/>
  <c r="C254" i="5"/>
  <c r="O253" i="5"/>
  <c r="R253" i="5" s="1"/>
  <c r="N253" i="5"/>
  <c r="P253" i="5" s="1"/>
  <c r="Q253" i="5" s="1"/>
  <c r="I253" i="5"/>
  <c r="C253" i="5"/>
  <c r="O252" i="5"/>
  <c r="R252" i="5" s="1"/>
  <c r="N252" i="5"/>
  <c r="I252" i="5"/>
  <c r="C252" i="5"/>
  <c r="O251" i="5"/>
  <c r="R251" i="5" s="1"/>
  <c r="N251" i="5"/>
  <c r="I251" i="5"/>
  <c r="C251" i="5"/>
  <c r="O250" i="5"/>
  <c r="R250" i="5" s="1"/>
  <c r="N250" i="5"/>
  <c r="P250" i="5" s="1"/>
  <c r="Q250" i="5" s="1"/>
  <c r="I250" i="5"/>
  <c r="C250" i="5"/>
  <c r="O249" i="5"/>
  <c r="R249" i="5" s="1"/>
  <c r="N249" i="5"/>
  <c r="P249" i="5" s="1"/>
  <c r="Q249" i="5" s="1"/>
  <c r="I249" i="5"/>
  <c r="C249" i="5"/>
  <c r="O248" i="5"/>
  <c r="R248" i="5" s="1"/>
  <c r="N248" i="5"/>
  <c r="P248" i="5" s="1"/>
  <c r="Q248" i="5" s="1"/>
  <c r="I248" i="5"/>
  <c r="C248" i="5"/>
  <c r="O247" i="5"/>
  <c r="R247" i="5" s="1"/>
  <c r="N247" i="5"/>
  <c r="P247" i="5" s="1"/>
  <c r="Q247" i="5" s="1"/>
  <c r="I247" i="5"/>
  <c r="C247" i="5"/>
  <c r="O246" i="5"/>
  <c r="R246" i="5" s="1"/>
  <c r="N246" i="5"/>
  <c r="P246" i="5" s="1"/>
  <c r="Q246" i="5" s="1"/>
  <c r="I246" i="5"/>
  <c r="C246" i="5"/>
  <c r="O245" i="5"/>
  <c r="R245" i="5" s="1"/>
  <c r="N245" i="5"/>
  <c r="I245" i="5"/>
  <c r="C245" i="5"/>
  <c r="O244" i="5"/>
  <c r="R244" i="5" s="1"/>
  <c r="N244" i="5"/>
  <c r="I244" i="5"/>
  <c r="C244" i="5"/>
  <c r="O243" i="5"/>
  <c r="R243" i="5" s="1"/>
  <c r="N243" i="5"/>
  <c r="I243" i="5"/>
  <c r="C243" i="5"/>
  <c r="O242" i="5"/>
  <c r="R242" i="5" s="1"/>
  <c r="N242" i="5"/>
  <c r="P242" i="5" s="1"/>
  <c r="Q242" i="5" s="1"/>
  <c r="I242" i="5"/>
  <c r="C242" i="5"/>
  <c r="O241" i="5"/>
  <c r="R241" i="5" s="1"/>
  <c r="N241" i="5"/>
  <c r="P241" i="5" s="1"/>
  <c r="Q241" i="5" s="1"/>
  <c r="I241" i="5"/>
  <c r="C241" i="5"/>
  <c r="O240" i="5"/>
  <c r="R240" i="5" s="1"/>
  <c r="N240" i="5"/>
  <c r="P240" i="5" s="1"/>
  <c r="Q240" i="5" s="1"/>
  <c r="I240" i="5"/>
  <c r="C240" i="5"/>
  <c r="O239" i="5"/>
  <c r="R239" i="5" s="1"/>
  <c r="N239" i="5"/>
  <c r="P239" i="5" s="1"/>
  <c r="Q239" i="5" s="1"/>
  <c r="I239" i="5"/>
  <c r="C239" i="5"/>
  <c r="O238" i="5"/>
  <c r="R238" i="5" s="1"/>
  <c r="N238" i="5"/>
  <c r="P238" i="5" s="1"/>
  <c r="Q238" i="5" s="1"/>
  <c r="I238" i="5"/>
  <c r="C238" i="5"/>
  <c r="O237" i="5"/>
  <c r="R237" i="5" s="1"/>
  <c r="N237" i="5"/>
  <c r="I237" i="5"/>
  <c r="C237" i="5"/>
  <c r="O236" i="5"/>
  <c r="R236" i="5" s="1"/>
  <c r="N236" i="5"/>
  <c r="I236" i="5"/>
  <c r="C236" i="5"/>
  <c r="O235" i="5"/>
  <c r="R235" i="5" s="1"/>
  <c r="N235" i="5"/>
  <c r="I235" i="5"/>
  <c r="C235" i="5"/>
  <c r="O234" i="5"/>
  <c r="R234" i="5" s="1"/>
  <c r="N234" i="5"/>
  <c r="P234" i="5" s="1"/>
  <c r="Q234" i="5" s="1"/>
  <c r="I234" i="5"/>
  <c r="C234" i="5"/>
  <c r="O233" i="5"/>
  <c r="R233" i="5" s="1"/>
  <c r="N233" i="5"/>
  <c r="P233" i="5" s="1"/>
  <c r="Q233" i="5" s="1"/>
  <c r="I233" i="5"/>
  <c r="C233" i="5"/>
  <c r="O232" i="5"/>
  <c r="R232" i="5" s="1"/>
  <c r="N232" i="5"/>
  <c r="P232" i="5" s="1"/>
  <c r="Q232" i="5" s="1"/>
  <c r="I232" i="5"/>
  <c r="C232" i="5"/>
  <c r="O231" i="5"/>
  <c r="R231" i="5" s="1"/>
  <c r="N231" i="5"/>
  <c r="P231" i="5" s="1"/>
  <c r="Q231" i="5" s="1"/>
  <c r="I231" i="5"/>
  <c r="C231" i="5"/>
  <c r="O230" i="5"/>
  <c r="R230" i="5" s="1"/>
  <c r="N230" i="5"/>
  <c r="P230" i="5" s="1"/>
  <c r="Q230" i="5" s="1"/>
  <c r="I230" i="5"/>
  <c r="C230" i="5"/>
  <c r="O229" i="5"/>
  <c r="R229" i="5" s="1"/>
  <c r="N229" i="5"/>
  <c r="I229" i="5"/>
  <c r="C229" i="5"/>
  <c r="O228" i="5"/>
  <c r="R228" i="5" s="1"/>
  <c r="N228" i="5"/>
  <c r="I228" i="5"/>
  <c r="C228" i="5"/>
  <c r="O227" i="5"/>
  <c r="R227" i="5" s="1"/>
  <c r="N227" i="5"/>
  <c r="I227" i="5"/>
  <c r="C227" i="5"/>
  <c r="O226" i="5"/>
  <c r="R226" i="5" s="1"/>
  <c r="N226" i="5"/>
  <c r="P226" i="5" s="1"/>
  <c r="Q226" i="5" s="1"/>
  <c r="I226" i="5"/>
  <c r="C226" i="5"/>
  <c r="O225" i="5"/>
  <c r="R225" i="5" s="1"/>
  <c r="N225" i="5"/>
  <c r="P225" i="5" s="1"/>
  <c r="Q225" i="5" s="1"/>
  <c r="I225" i="5"/>
  <c r="C225" i="5"/>
  <c r="O224" i="5"/>
  <c r="R224" i="5" s="1"/>
  <c r="N224" i="5"/>
  <c r="P224" i="5" s="1"/>
  <c r="Q224" i="5" s="1"/>
  <c r="I224" i="5"/>
  <c r="C224" i="5"/>
  <c r="O223" i="5"/>
  <c r="R223" i="5" s="1"/>
  <c r="N223" i="5"/>
  <c r="P223" i="5" s="1"/>
  <c r="Q223" i="5" s="1"/>
  <c r="I223" i="5"/>
  <c r="C223" i="5"/>
  <c r="O222" i="5"/>
  <c r="R222" i="5" s="1"/>
  <c r="N222" i="5"/>
  <c r="P222" i="5" s="1"/>
  <c r="Q222" i="5" s="1"/>
  <c r="I222" i="5"/>
  <c r="C222" i="5"/>
  <c r="O221" i="5"/>
  <c r="R221" i="5" s="1"/>
  <c r="N221" i="5"/>
  <c r="I221" i="5"/>
  <c r="C221" i="5"/>
  <c r="O220" i="5"/>
  <c r="R220" i="5" s="1"/>
  <c r="N220" i="5"/>
  <c r="I220" i="5"/>
  <c r="C220" i="5"/>
  <c r="O219" i="5"/>
  <c r="R219" i="5" s="1"/>
  <c r="N219" i="5"/>
  <c r="I219" i="5"/>
  <c r="C219" i="5"/>
  <c r="O218" i="5"/>
  <c r="R218" i="5" s="1"/>
  <c r="N218" i="5"/>
  <c r="P218" i="5" s="1"/>
  <c r="Q218" i="5" s="1"/>
  <c r="I218" i="5"/>
  <c r="C218" i="5"/>
  <c r="O217" i="5"/>
  <c r="R217" i="5" s="1"/>
  <c r="N217" i="5"/>
  <c r="I217" i="5"/>
  <c r="C217" i="5"/>
  <c r="O216" i="5"/>
  <c r="R216" i="5" s="1"/>
  <c r="N216" i="5"/>
  <c r="P216" i="5" s="1"/>
  <c r="Q216" i="5" s="1"/>
  <c r="I216" i="5"/>
  <c r="C216" i="5"/>
  <c r="O215" i="5"/>
  <c r="R215" i="5" s="1"/>
  <c r="N215" i="5"/>
  <c r="P215" i="5" s="1"/>
  <c r="Q215" i="5" s="1"/>
  <c r="I215" i="5"/>
  <c r="C215" i="5"/>
  <c r="O214" i="5"/>
  <c r="R214" i="5" s="1"/>
  <c r="N214" i="5"/>
  <c r="P214" i="5" s="1"/>
  <c r="Q214" i="5" s="1"/>
  <c r="I214" i="5"/>
  <c r="C214" i="5"/>
  <c r="O213" i="5"/>
  <c r="R213" i="5" s="1"/>
  <c r="N213" i="5"/>
  <c r="I213" i="5"/>
  <c r="C213" i="5"/>
  <c r="O212" i="5"/>
  <c r="R212" i="5" s="1"/>
  <c r="N212" i="5"/>
  <c r="I212" i="5"/>
  <c r="C212" i="5"/>
  <c r="O211" i="5"/>
  <c r="R211" i="5" s="1"/>
  <c r="N211" i="5"/>
  <c r="I211" i="5"/>
  <c r="C211" i="5"/>
  <c r="O210" i="5"/>
  <c r="R210" i="5" s="1"/>
  <c r="N210" i="5"/>
  <c r="P210" i="5" s="1"/>
  <c r="Q210" i="5" s="1"/>
  <c r="I210" i="5"/>
  <c r="C210" i="5"/>
  <c r="O209" i="5"/>
  <c r="R209" i="5" s="1"/>
  <c r="N209" i="5"/>
  <c r="I209" i="5"/>
  <c r="C209" i="5"/>
  <c r="O208" i="5"/>
  <c r="R208" i="5" s="1"/>
  <c r="N208" i="5"/>
  <c r="P208" i="5" s="1"/>
  <c r="Q208" i="5" s="1"/>
  <c r="I208" i="5"/>
  <c r="C208" i="5"/>
  <c r="O207" i="5"/>
  <c r="R207" i="5" s="1"/>
  <c r="N207" i="5"/>
  <c r="P207" i="5" s="1"/>
  <c r="Q207" i="5" s="1"/>
  <c r="I207" i="5"/>
  <c r="C207" i="5"/>
  <c r="O206" i="5"/>
  <c r="R206" i="5" s="1"/>
  <c r="N206" i="5"/>
  <c r="P206" i="5" s="1"/>
  <c r="Q206" i="5" s="1"/>
  <c r="I206" i="5"/>
  <c r="C206" i="5"/>
  <c r="O205" i="5"/>
  <c r="R205" i="5" s="1"/>
  <c r="N205" i="5"/>
  <c r="I205" i="5"/>
  <c r="C205" i="5"/>
  <c r="O204" i="5"/>
  <c r="R204" i="5" s="1"/>
  <c r="N204" i="5"/>
  <c r="I204" i="5"/>
  <c r="C204" i="5"/>
  <c r="O203" i="5"/>
  <c r="R203" i="5" s="1"/>
  <c r="N203" i="5"/>
  <c r="I203" i="5"/>
  <c r="C203" i="5"/>
  <c r="O202" i="5"/>
  <c r="R202" i="5" s="1"/>
  <c r="N202" i="5"/>
  <c r="P202" i="5" s="1"/>
  <c r="Q202" i="5" s="1"/>
  <c r="I202" i="5"/>
  <c r="C202" i="5"/>
  <c r="O201" i="5"/>
  <c r="R201" i="5" s="1"/>
  <c r="N201" i="5"/>
  <c r="I201" i="5"/>
  <c r="C201" i="5"/>
  <c r="O200" i="5"/>
  <c r="R200" i="5" s="1"/>
  <c r="N200" i="5"/>
  <c r="P200" i="5" s="1"/>
  <c r="Q200" i="5" s="1"/>
  <c r="I200" i="5"/>
  <c r="C200" i="5"/>
  <c r="O199" i="5"/>
  <c r="R199" i="5" s="1"/>
  <c r="N199" i="5"/>
  <c r="P199" i="5" s="1"/>
  <c r="Q199" i="5" s="1"/>
  <c r="I199" i="5"/>
  <c r="C199" i="5"/>
  <c r="O198" i="5"/>
  <c r="R198" i="5" s="1"/>
  <c r="N198" i="5"/>
  <c r="P198" i="5" s="1"/>
  <c r="Q198" i="5" s="1"/>
  <c r="I198" i="5"/>
  <c r="C198" i="5"/>
  <c r="O197" i="5"/>
  <c r="R197" i="5" s="1"/>
  <c r="N197" i="5"/>
  <c r="I197" i="5"/>
  <c r="C197" i="5"/>
  <c r="O196" i="5"/>
  <c r="R196" i="5" s="1"/>
  <c r="N196" i="5"/>
  <c r="I196" i="5"/>
  <c r="C196" i="5"/>
  <c r="O195" i="5"/>
  <c r="R195" i="5" s="1"/>
  <c r="N195" i="5"/>
  <c r="I195" i="5"/>
  <c r="C195" i="5"/>
  <c r="O194" i="5"/>
  <c r="R194" i="5" s="1"/>
  <c r="N194" i="5"/>
  <c r="P194" i="5" s="1"/>
  <c r="Q194" i="5" s="1"/>
  <c r="I194" i="5"/>
  <c r="C194" i="5"/>
  <c r="O193" i="5"/>
  <c r="R193" i="5" s="1"/>
  <c r="N193" i="5"/>
  <c r="I193" i="5"/>
  <c r="C193" i="5"/>
  <c r="O192" i="5"/>
  <c r="R192" i="5" s="1"/>
  <c r="N192" i="5"/>
  <c r="P192" i="5" s="1"/>
  <c r="Q192" i="5" s="1"/>
  <c r="I192" i="5"/>
  <c r="C192" i="5"/>
  <c r="O191" i="5"/>
  <c r="R191" i="5" s="1"/>
  <c r="N191" i="5"/>
  <c r="P191" i="5" s="1"/>
  <c r="Q191" i="5" s="1"/>
  <c r="I191" i="5"/>
  <c r="C191" i="5"/>
  <c r="O190" i="5"/>
  <c r="R190" i="5" s="1"/>
  <c r="N190" i="5"/>
  <c r="P190" i="5" s="1"/>
  <c r="Q190" i="5" s="1"/>
  <c r="I190" i="5"/>
  <c r="C190" i="5"/>
  <c r="O189" i="5"/>
  <c r="R189" i="5" s="1"/>
  <c r="N189" i="5"/>
  <c r="P189" i="5" s="1"/>
  <c r="Q189" i="5" s="1"/>
  <c r="I189" i="5"/>
  <c r="C189" i="5"/>
  <c r="O188" i="5"/>
  <c r="R188" i="5" s="1"/>
  <c r="N188" i="5"/>
  <c r="I188" i="5"/>
  <c r="C188" i="5"/>
  <c r="O187" i="5"/>
  <c r="R187" i="5" s="1"/>
  <c r="N187" i="5"/>
  <c r="I187" i="5"/>
  <c r="C187" i="5"/>
  <c r="O186" i="5"/>
  <c r="R186" i="5" s="1"/>
  <c r="N186" i="5"/>
  <c r="P186" i="5" s="1"/>
  <c r="Q186" i="5" s="1"/>
  <c r="I186" i="5"/>
  <c r="C186" i="5"/>
  <c r="O185" i="5"/>
  <c r="R185" i="5" s="1"/>
  <c r="N185" i="5"/>
  <c r="I185" i="5"/>
  <c r="C185" i="5"/>
  <c r="R184" i="5"/>
  <c r="O184" i="5"/>
  <c r="N184" i="5"/>
  <c r="P184" i="5" s="1"/>
  <c r="Q184" i="5" s="1"/>
  <c r="I184" i="5"/>
  <c r="C184" i="5"/>
  <c r="R183" i="5"/>
  <c r="O183" i="5"/>
  <c r="N183" i="5"/>
  <c r="I183" i="5"/>
  <c r="C183" i="5"/>
  <c r="O182" i="5"/>
  <c r="R182" i="5" s="1"/>
  <c r="N182" i="5"/>
  <c r="P182" i="5" s="1"/>
  <c r="Q182" i="5" s="1"/>
  <c r="I182" i="5"/>
  <c r="C182" i="5"/>
  <c r="O181" i="5"/>
  <c r="R181" i="5" s="1"/>
  <c r="N181" i="5"/>
  <c r="I181" i="5"/>
  <c r="C181" i="5"/>
  <c r="R180" i="5"/>
  <c r="O180" i="5"/>
  <c r="N180" i="5"/>
  <c r="P180" i="5" s="1"/>
  <c r="Q180" i="5" s="1"/>
  <c r="I180" i="5"/>
  <c r="C180" i="5"/>
  <c r="O179" i="5"/>
  <c r="R179" i="5" s="1"/>
  <c r="N179" i="5"/>
  <c r="P179" i="5" s="1"/>
  <c r="Q179" i="5" s="1"/>
  <c r="I179" i="5"/>
  <c r="C179" i="5"/>
  <c r="O178" i="5"/>
  <c r="R178" i="5" s="1"/>
  <c r="N178" i="5"/>
  <c r="P178" i="5" s="1"/>
  <c r="Q178" i="5" s="1"/>
  <c r="I178" i="5"/>
  <c r="C178" i="5"/>
  <c r="R177" i="5"/>
  <c r="O177" i="5"/>
  <c r="N177" i="5"/>
  <c r="P177" i="5" s="1"/>
  <c r="Q177" i="5" s="1"/>
  <c r="I177" i="5"/>
  <c r="C177" i="5"/>
  <c r="O176" i="5"/>
  <c r="R176" i="5" s="1"/>
  <c r="N176" i="5"/>
  <c r="I176" i="5"/>
  <c r="C176" i="5"/>
  <c r="R175" i="5"/>
  <c r="O175" i="5"/>
  <c r="N175" i="5"/>
  <c r="P175" i="5" s="1"/>
  <c r="Q175" i="5" s="1"/>
  <c r="I175" i="5"/>
  <c r="C175" i="5"/>
  <c r="O174" i="5"/>
  <c r="R174" i="5" s="1"/>
  <c r="N174" i="5"/>
  <c r="P174" i="5" s="1"/>
  <c r="Q174" i="5" s="1"/>
  <c r="I174" i="5"/>
  <c r="C174" i="5"/>
  <c r="R173" i="5"/>
  <c r="O173" i="5"/>
  <c r="N173" i="5"/>
  <c r="P173" i="5" s="1"/>
  <c r="Q173" i="5" s="1"/>
  <c r="I173" i="5"/>
  <c r="C173" i="5"/>
  <c r="O172" i="5"/>
  <c r="R172" i="5" s="1"/>
  <c r="N172" i="5"/>
  <c r="I172" i="5"/>
  <c r="C172" i="5"/>
  <c r="R171" i="5"/>
  <c r="O171" i="5"/>
  <c r="N171" i="5"/>
  <c r="P171" i="5" s="1"/>
  <c r="Q171" i="5" s="1"/>
  <c r="I171" i="5"/>
  <c r="C171" i="5"/>
  <c r="O170" i="5"/>
  <c r="R170" i="5" s="1"/>
  <c r="N170" i="5"/>
  <c r="P170" i="5" s="1"/>
  <c r="Q170" i="5" s="1"/>
  <c r="I170" i="5"/>
  <c r="C170" i="5"/>
  <c r="R169" i="5"/>
  <c r="O169" i="5"/>
  <c r="N169" i="5"/>
  <c r="P169" i="5" s="1"/>
  <c r="Q169" i="5" s="1"/>
  <c r="I169" i="5"/>
  <c r="C169" i="5"/>
  <c r="O168" i="5"/>
  <c r="R168" i="5" s="1"/>
  <c r="N168" i="5"/>
  <c r="I168" i="5"/>
  <c r="C168" i="5"/>
  <c r="R167" i="5"/>
  <c r="O167" i="5"/>
  <c r="N167" i="5"/>
  <c r="P167" i="5" s="1"/>
  <c r="Q167" i="5" s="1"/>
  <c r="I167" i="5"/>
  <c r="C167" i="5"/>
  <c r="O166" i="5"/>
  <c r="R166" i="5" s="1"/>
  <c r="N166" i="5"/>
  <c r="P166" i="5" s="1"/>
  <c r="Q166" i="5" s="1"/>
  <c r="I166" i="5"/>
  <c r="C166" i="5"/>
  <c r="R165" i="5"/>
  <c r="O165" i="5"/>
  <c r="N165" i="5"/>
  <c r="P165" i="5" s="1"/>
  <c r="Q165" i="5" s="1"/>
  <c r="I165" i="5"/>
  <c r="C165" i="5"/>
  <c r="O164" i="5"/>
  <c r="R164" i="5" s="1"/>
  <c r="N164" i="5"/>
  <c r="I164" i="5"/>
  <c r="C164" i="5"/>
  <c r="R163" i="5"/>
  <c r="Q163" i="5"/>
  <c r="O163" i="5"/>
  <c r="N163" i="5"/>
  <c r="P163" i="5" s="1"/>
  <c r="I163" i="5"/>
  <c r="C163" i="5"/>
  <c r="O162" i="5"/>
  <c r="R162" i="5" s="1"/>
  <c r="N162" i="5"/>
  <c r="P162" i="5" s="1"/>
  <c r="Q162" i="5" s="1"/>
  <c r="I162" i="5"/>
  <c r="C162" i="5"/>
  <c r="R161" i="5"/>
  <c r="O161" i="5"/>
  <c r="N161" i="5"/>
  <c r="P161" i="5" s="1"/>
  <c r="Q161" i="5" s="1"/>
  <c r="I161" i="5"/>
  <c r="C161" i="5"/>
  <c r="O160" i="5"/>
  <c r="R160" i="5" s="1"/>
  <c r="N160" i="5"/>
  <c r="I160" i="5"/>
  <c r="C160" i="5"/>
  <c r="R159" i="5"/>
  <c r="O159" i="5"/>
  <c r="N159" i="5"/>
  <c r="P159" i="5" s="1"/>
  <c r="Q159" i="5" s="1"/>
  <c r="I159" i="5"/>
  <c r="C159" i="5"/>
  <c r="O158" i="5"/>
  <c r="R158" i="5" s="1"/>
  <c r="N158" i="5"/>
  <c r="P158" i="5" s="1"/>
  <c r="Q158" i="5" s="1"/>
  <c r="I158" i="5"/>
  <c r="C158" i="5"/>
  <c r="R157" i="5"/>
  <c r="O157" i="5"/>
  <c r="N157" i="5"/>
  <c r="I157" i="5"/>
  <c r="C157" i="5"/>
  <c r="O156" i="5"/>
  <c r="R156" i="5" s="1"/>
  <c r="N156" i="5"/>
  <c r="I156" i="5"/>
  <c r="C156" i="5"/>
  <c r="R155" i="5"/>
  <c r="Q155" i="5"/>
  <c r="O155" i="5"/>
  <c r="N155" i="5"/>
  <c r="P155" i="5" s="1"/>
  <c r="I155" i="5"/>
  <c r="C155" i="5"/>
  <c r="O154" i="5"/>
  <c r="R154" i="5" s="1"/>
  <c r="N154" i="5"/>
  <c r="P154" i="5" s="1"/>
  <c r="Q154" i="5" s="1"/>
  <c r="I154" i="5"/>
  <c r="C154" i="5"/>
  <c r="R153" i="5"/>
  <c r="O153" i="5"/>
  <c r="N153" i="5"/>
  <c r="I153" i="5"/>
  <c r="C153" i="5"/>
  <c r="O152" i="5"/>
  <c r="R152" i="5" s="1"/>
  <c r="N152" i="5"/>
  <c r="I152" i="5"/>
  <c r="C152" i="5"/>
  <c r="R151" i="5"/>
  <c r="O151" i="5"/>
  <c r="N151" i="5"/>
  <c r="P151" i="5" s="1"/>
  <c r="Q151" i="5" s="1"/>
  <c r="I151" i="5"/>
  <c r="C151" i="5"/>
  <c r="O150" i="5"/>
  <c r="R150" i="5" s="1"/>
  <c r="N150" i="5"/>
  <c r="P150" i="5" s="1"/>
  <c r="Q150" i="5" s="1"/>
  <c r="I150" i="5"/>
  <c r="C150" i="5"/>
  <c r="R149" i="5"/>
  <c r="O149" i="5"/>
  <c r="N149" i="5"/>
  <c r="I149" i="5"/>
  <c r="C149" i="5"/>
  <c r="O148" i="5"/>
  <c r="R148" i="5" s="1"/>
  <c r="N148" i="5"/>
  <c r="I148" i="5"/>
  <c r="C148" i="5"/>
  <c r="R147" i="5"/>
  <c r="O147" i="5"/>
  <c r="N147" i="5"/>
  <c r="P147" i="5" s="1"/>
  <c r="Q147" i="5" s="1"/>
  <c r="I147" i="5"/>
  <c r="C147" i="5"/>
  <c r="O146" i="5"/>
  <c r="R146" i="5" s="1"/>
  <c r="N146" i="5"/>
  <c r="P146" i="5" s="1"/>
  <c r="Q146" i="5" s="1"/>
  <c r="I146" i="5"/>
  <c r="C146" i="5"/>
  <c r="R145" i="5"/>
  <c r="O145" i="5"/>
  <c r="N145" i="5"/>
  <c r="I145" i="5"/>
  <c r="C145" i="5"/>
  <c r="O144" i="5"/>
  <c r="R144" i="5" s="1"/>
  <c r="N144" i="5"/>
  <c r="I144" i="5"/>
  <c r="C144" i="5"/>
  <c r="R143" i="5"/>
  <c r="O143" i="5"/>
  <c r="N143" i="5"/>
  <c r="P143" i="5" s="1"/>
  <c r="Q143" i="5" s="1"/>
  <c r="I143" i="5"/>
  <c r="C143" i="5"/>
  <c r="O142" i="5"/>
  <c r="R142" i="5" s="1"/>
  <c r="N142" i="5"/>
  <c r="P142" i="5" s="1"/>
  <c r="Q142" i="5" s="1"/>
  <c r="I142" i="5"/>
  <c r="C142" i="5"/>
  <c r="R141" i="5"/>
  <c r="O141" i="5"/>
  <c r="N141" i="5"/>
  <c r="I141" i="5"/>
  <c r="C141" i="5"/>
  <c r="O140" i="5"/>
  <c r="R140" i="5" s="1"/>
  <c r="N140" i="5"/>
  <c r="I140" i="5"/>
  <c r="C140" i="5"/>
  <c r="R139" i="5"/>
  <c r="O139" i="5"/>
  <c r="N139" i="5"/>
  <c r="P139" i="5" s="1"/>
  <c r="Q139" i="5" s="1"/>
  <c r="I139" i="5"/>
  <c r="C139" i="5"/>
  <c r="O138" i="5"/>
  <c r="R138" i="5" s="1"/>
  <c r="N138" i="5"/>
  <c r="P138" i="5" s="1"/>
  <c r="Q138" i="5" s="1"/>
  <c r="I138" i="5"/>
  <c r="C138" i="5"/>
  <c r="R137" i="5"/>
  <c r="O137" i="5"/>
  <c r="N137" i="5"/>
  <c r="I137" i="5"/>
  <c r="C137" i="5"/>
  <c r="O136" i="5"/>
  <c r="R136" i="5" s="1"/>
  <c r="N136" i="5"/>
  <c r="I136" i="5"/>
  <c r="C136" i="5"/>
  <c r="R135" i="5"/>
  <c r="O135" i="5"/>
  <c r="N135" i="5"/>
  <c r="P135" i="5" s="1"/>
  <c r="Q135" i="5" s="1"/>
  <c r="I135" i="5"/>
  <c r="C135" i="5"/>
  <c r="O134" i="5"/>
  <c r="R134" i="5" s="1"/>
  <c r="N134" i="5"/>
  <c r="P134" i="5" s="1"/>
  <c r="Q134" i="5" s="1"/>
  <c r="I134" i="5"/>
  <c r="C134" i="5"/>
  <c r="R133" i="5"/>
  <c r="O133" i="5"/>
  <c r="N133" i="5"/>
  <c r="I133" i="5"/>
  <c r="C133" i="5"/>
  <c r="O132" i="5"/>
  <c r="R132" i="5" s="1"/>
  <c r="N132" i="5"/>
  <c r="I132" i="5"/>
  <c r="C132" i="5"/>
  <c r="R131" i="5"/>
  <c r="Q131" i="5"/>
  <c r="O131" i="5"/>
  <c r="N131" i="5"/>
  <c r="P131" i="5" s="1"/>
  <c r="I131" i="5"/>
  <c r="C131" i="5"/>
  <c r="O130" i="5"/>
  <c r="R130" i="5" s="1"/>
  <c r="N130" i="5"/>
  <c r="P130" i="5" s="1"/>
  <c r="Q130" i="5" s="1"/>
  <c r="I130" i="5"/>
  <c r="C130" i="5"/>
  <c r="R129" i="5"/>
  <c r="O129" i="5"/>
  <c r="N129" i="5"/>
  <c r="I129" i="5"/>
  <c r="C129" i="5"/>
  <c r="O128" i="5"/>
  <c r="R128" i="5" s="1"/>
  <c r="N128" i="5"/>
  <c r="I128" i="5"/>
  <c r="C128" i="5"/>
  <c r="R127" i="5"/>
  <c r="O127" i="5"/>
  <c r="N127" i="5"/>
  <c r="P127" i="5" s="1"/>
  <c r="Q127" i="5" s="1"/>
  <c r="I127" i="5"/>
  <c r="C127" i="5"/>
  <c r="O126" i="5"/>
  <c r="R126" i="5" s="1"/>
  <c r="N126" i="5"/>
  <c r="P126" i="5" s="1"/>
  <c r="Q126" i="5" s="1"/>
  <c r="I126" i="5"/>
  <c r="C126" i="5"/>
  <c r="R125" i="5"/>
  <c r="O125" i="5"/>
  <c r="N125" i="5"/>
  <c r="I125" i="5"/>
  <c r="C125" i="5"/>
  <c r="O124" i="5"/>
  <c r="R124" i="5" s="1"/>
  <c r="N124" i="5"/>
  <c r="I124" i="5"/>
  <c r="C124" i="5"/>
  <c r="R123" i="5"/>
  <c r="Q123" i="5"/>
  <c r="O123" i="5"/>
  <c r="N123" i="5"/>
  <c r="P123" i="5" s="1"/>
  <c r="I123" i="5"/>
  <c r="C123" i="5"/>
  <c r="O122" i="5"/>
  <c r="R122" i="5" s="1"/>
  <c r="N122" i="5"/>
  <c r="P122" i="5" s="1"/>
  <c r="Q122" i="5" s="1"/>
  <c r="I122" i="5"/>
  <c r="C122" i="5"/>
  <c r="R121" i="5"/>
  <c r="O121" i="5"/>
  <c r="N121" i="5"/>
  <c r="I121" i="5"/>
  <c r="C121" i="5"/>
  <c r="O120" i="5"/>
  <c r="R120" i="5" s="1"/>
  <c r="N120" i="5"/>
  <c r="I120" i="5"/>
  <c r="C120" i="5"/>
  <c r="R119" i="5"/>
  <c r="O119" i="5"/>
  <c r="N119" i="5"/>
  <c r="P119" i="5" s="1"/>
  <c r="Q119" i="5" s="1"/>
  <c r="I119" i="5"/>
  <c r="C119" i="5"/>
  <c r="O118" i="5"/>
  <c r="R118" i="5" s="1"/>
  <c r="N118" i="5"/>
  <c r="P118" i="5" s="1"/>
  <c r="Q118" i="5" s="1"/>
  <c r="I118" i="5"/>
  <c r="C118" i="5"/>
  <c r="R117" i="5"/>
  <c r="O117" i="5"/>
  <c r="N117" i="5"/>
  <c r="I117" i="5"/>
  <c r="C117" i="5"/>
  <c r="O116" i="5"/>
  <c r="R116" i="5" s="1"/>
  <c r="N116" i="5"/>
  <c r="I116" i="5"/>
  <c r="C116" i="5"/>
  <c r="R115" i="5"/>
  <c r="O115" i="5"/>
  <c r="N115" i="5"/>
  <c r="P115" i="5" s="1"/>
  <c r="Q115" i="5" s="1"/>
  <c r="I115" i="5"/>
  <c r="C115" i="5"/>
  <c r="O114" i="5"/>
  <c r="R114" i="5" s="1"/>
  <c r="N114" i="5"/>
  <c r="P114" i="5" s="1"/>
  <c r="Q114" i="5" s="1"/>
  <c r="I114" i="5"/>
  <c r="C114" i="5"/>
  <c r="R113" i="5"/>
  <c r="O113" i="5"/>
  <c r="N113" i="5"/>
  <c r="I113" i="5"/>
  <c r="C113" i="5"/>
  <c r="O112" i="5"/>
  <c r="R112" i="5" s="1"/>
  <c r="N112" i="5"/>
  <c r="I112" i="5"/>
  <c r="C112" i="5"/>
  <c r="R111" i="5"/>
  <c r="O111" i="5"/>
  <c r="N111" i="5"/>
  <c r="P111" i="5" s="1"/>
  <c r="Q111" i="5" s="1"/>
  <c r="I111" i="5"/>
  <c r="C111" i="5"/>
  <c r="O110" i="5"/>
  <c r="R110" i="5" s="1"/>
  <c r="N110" i="5"/>
  <c r="P110" i="5" s="1"/>
  <c r="Q110" i="5" s="1"/>
  <c r="I110" i="5"/>
  <c r="C110" i="5"/>
  <c r="R109" i="5"/>
  <c r="O109" i="5"/>
  <c r="N109" i="5"/>
  <c r="I109" i="5"/>
  <c r="C109" i="5"/>
  <c r="O108" i="5"/>
  <c r="R108" i="5" s="1"/>
  <c r="N108" i="5"/>
  <c r="I108" i="5"/>
  <c r="C108" i="5"/>
  <c r="R107" i="5"/>
  <c r="O107" i="5"/>
  <c r="N107" i="5"/>
  <c r="P107" i="5" s="1"/>
  <c r="Q107" i="5" s="1"/>
  <c r="I107" i="5"/>
  <c r="C107" i="5"/>
  <c r="O106" i="5"/>
  <c r="R106" i="5" s="1"/>
  <c r="N106" i="5"/>
  <c r="P106" i="5" s="1"/>
  <c r="Q106" i="5" s="1"/>
  <c r="I106" i="5"/>
  <c r="C106" i="5"/>
  <c r="R105" i="5"/>
  <c r="O105" i="5"/>
  <c r="N105" i="5"/>
  <c r="I105" i="5"/>
  <c r="C105" i="5"/>
  <c r="O104" i="5"/>
  <c r="R104" i="5" s="1"/>
  <c r="N104" i="5"/>
  <c r="I104" i="5"/>
  <c r="C104" i="5"/>
  <c r="R103" i="5"/>
  <c r="O103" i="5"/>
  <c r="N103" i="5"/>
  <c r="P103" i="5" s="1"/>
  <c r="Q103" i="5" s="1"/>
  <c r="I103" i="5"/>
  <c r="C103" i="5"/>
  <c r="O102" i="5"/>
  <c r="R102" i="5" s="1"/>
  <c r="N102" i="5"/>
  <c r="P102" i="5" s="1"/>
  <c r="Q102" i="5" s="1"/>
  <c r="I102" i="5"/>
  <c r="C102" i="5"/>
  <c r="R101" i="5"/>
  <c r="O101" i="5"/>
  <c r="N101" i="5"/>
  <c r="I101" i="5"/>
  <c r="C101" i="5"/>
  <c r="O100" i="5"/>
  <c r="R100" i="5" s="1"/>
  <c r="N100" i="5"/>
  <c r="I100" i="5"/>
  <c r="C100" i="5"/>
  <c r="R99" i="5"/>
  <c r="Q99" i="5"/>
  <c r="O99" i="5"/>
  <c r="N99" i="5"/>
  <c r="P99" i="5" s="1"/>
  <c r="I99" i="5"/>
  <c r="C99" i="5"/>
  <c r="O98" i="5"/>
  <c r="R98" i="5" s="1"/>
  <c r="N98" i="5"/>
  <c r="P98" i="5" s="1"/>
  <c r="Q98" i="5" s="1"/>
  <c r="I98" i="5"/>
  <c r="C98" i="5"/>
  <c r="R97" i="5"/>
  <c r="O97" i="5"/>
  <c r="N97" i="5"/>
  <c r="I97" i="5"/>
  <c r="C97" i="5"/>
  <c r="O96" i="5"/>
  <c r="R96" i="5" s="1"/>
  <c r="N96" i="5"/>
  <c r="I96" i="5"/>
  <c r="C96" i="5"/>
  <c r="R95" i="5"/>
  <c r="O95" i="5"/>
  <c r="N95" i="5"/>
  <c r="P95" i="5" s="1"/>
  <c r="Q95" i="5" s="1"/>
  <c r="I95" i="5"/>
  <c r="C95" i="5"/>
  <c r="O94" i="5"/>
  <c r="R94" i="5" s="1"/>
  <c r="N94" i="5"/>
  <c r="P94" i="5" s="1"/>
  <c r="Q94" i="5" s="1"/>
  <c r="I94" i="5"/>
  <c r="C94" i="5"/>
  <c r="R93" i="5"/>
  <c r="O93" i="5"/>
  <c r="N93" i="5"/>
  <c r="I93" i="5"/>
  <c r="C93" i="5"/>
  <c r="O92" i="5"/>
  <c r="R92" i="5" s="1"/>
  <c r="N92" i="5"/>
  <c r="I92" i="5"/>
  <c r="C92" i="5"/>
  <c r="R91" i="5"/>
  <c r="Q91" i="5"/>
  <c r="O91" i="5"/>
  <c r="N91" i="5"/>
  <c r="P91" i="5" s="1"/>
  <c r="I91" i="5"/>
  <c r="C91" i="5"/>
  <c r="O90" i="5"/>
  <c r="R90" i="5" s="1"/>
  <c r="N90" i="5"/>
  <c r="I90" i="5"/>
  <c r="C90" i="5"/>
  <c r="O89" i="5"/>
  <c r="R89" i="5" s="1"/>
  <c r="N89" i="5"/>
  <c r="P89" i="5" s="1"/>
  <c r="Q89" i="5" s="1"/>
  <c r="I89" i="5"/>
  <c r="C89" i="5"/>
  <c r="O88" i="5"/>
  <c r="R88" i="5" s="1"/>
  <c r="N88" i="5"/>
  <c r="P88" i="5" s="1"/>
  <c r="Q88" i="5" s="1"/>
  <c r="I88" i="5"/>
  <c r="C88" i="5"/>
  <c r="R87" i="5"/>
  <c r="O87" i="5"/>
  <c r="N87" i="5"/>
  <c r="I87" i="5"/>
  <c r="C87" i="5"/>
  <c r="R86" i="5"/>
  <c r="Q86" i="5"/>
  <c r="O86" i="5"/>
  <c r="N86" i="5"/>
  <c r="P86" i="5" s="1"/>
  <c r="I86" i="5"/>
  <c r="C86" i="5"/>
  <c r="O85" i="5"/>
  <c r="R85" i="5" s="1"/>
  <c r="N85" i="5"/>
  <c r="I85" i="5"/>
  <c r="C85" i="5"/>
  <c r="R84" i="5"/>
  <c r="O84" i="5"/>
  <c r="N84" i="5"/>
  <c r="P84" i="5" s="1"/>
  <c r="Q84" i="5" s="1"/>
  <c r="I84" i="5"/>
  <c r="C84" i="5"/>
  <c r="R83" i="5"/>
  <c r="Q83" i="5"/>
  <c r="O83" i="5"/>
  <c r="N83" i="5"/>
  <c r="P83" i="5" s="1"/>
  <c r="I83" i="5"/>
  <c r="C83" i="5"/>
  <c r="O82" i="5"/>
  <c r="R82" i="5" s="1"/>
  <c r="N82" i="5"/>
  <c r="I82" i="5"/>
  <c r="C82" i="5"/>
  <c r="O81" i="5"/>
  <c r="R81" i="5" s="1"/>
  <c r="N81" i="5"/>
  <c r="P81" i="5" s="1"/>
  <c r="Q81" i="5" s="1"/>
  <c r="I81" i="5"/>
  <c r="C81" i="5"/>
  <c r="O80" i="5"/>
  <c r="R80" i="5" s="1"/>
  <c r="N80" i="5"/>
  <c r="P80" i="5" s="1"/>
  <c r="Q80" i="5" s="1"/>
  <c r="I80" i="5"/>
  <c r="C80" i="5"/>
  <c r="R79" i="5"/>
  <c r="O79" i="5"/>
  <c r="N79" i="5"/>
  <c r="I79" i="5"/>
  <c r="C79" i="5"/>
  <c r="R78" i="5"/>
  <c r="Q78" i="5"/>
  <c r="O78" i="5"/>
  <c r="N78" i="5"/>
  <c r="P78" i="5" s="1"/>
  <c r="I78" i="5"/>
  <c r="C78" i="5"/>
  <c r="O77" i="5"/>
  <c r="R77" i="5" s="1"/>
  <c r="N77" i="5"/>
  <c r="I77" i="5"/>
  <c r="C77" i="5"/>
  <c r="R76" i="5"/>
  <c r="O76" i="5"/>
  <c r="N76" i="5"/>
  <c r="P76" i="5" s="1"/>
  <c r="Q76" i="5" s="1"/>
  <c r="I76" i="5"/>
  <c r="C76" i="5"/>
  <c r="R75" i="5"/>
  <c r="O75" i="5"/>
  <c r="N75" i="5"/>
  <c r="P75" i="5" s="1"/>
  <c r="Q75" i="5" s="1"/>
  <c r="I75" i="5"/>
  <c r="C75" i="5"/>
  <c r="O74" i="5"/>
  <c r="R74" i="5" s="1"/>
  <c r="N74" i="5"/>
  <c r="I74" i="5"/>
  <c r="C74" i="5"/>
  <c r="O73" i="5"/>
  <c r="R73" i="5" s="1"/>
  <c r="N73" i="5"/>
  <c r="P73" i="5" s="1"/>
  <c r="Q73" i="5" s="1"/>
  <c r="I73" i="5"/>
  <c r="C73" i="5"/>
  <c r="O72" i="5"/>
  <c r="R72" i="5" s="1"/>
  <c r="N72" i="5"/>
  <c r="P72" i="5" s="1"/>
  <c r="Q72" i="5" s="1"/>
  <c r="I72" i="5"/>
  <c r="C72" i="5"/>
  <c r="R71" i="5"/>
  <c r="O71" i="5"/>
  <c r="N71" i="5"/>
  <c r="I71" i="5"/>
  <c r="C71" i="5"/>
  <c r="R70" i="5"/>
  <c r="Q70" i="5"/>
  <c r="O70" i="5"/>
  <c r="N70" i="5"/>
  <c r="P70" i="5" s="1"/>
  <c r="I70" i="5"/>
  <c r="C70" i="5"/>
  <c r="O69" i="5"/>
  <c r="R69" i="5" s="1"/>
  <c r="N69" i="5"/>
  <c r="I69" i="5"/>
  <c r="C69" i="5"/>
  <c r="R68" i="5"/>
  <c r="O68" i="5"/>
  <c r="N68" i="5"/>
  <c r="P68" i="5" s="1"/>
  <c r="Q68" i="5" s="1"/>
  <c r="I68" i="5"/>
  <c r="C68" i="5"/>
  <c r="R67" i="5"/>
  <c r="O67" i="5"/>
  <c r="N67" i="5"/>
  <c r="P67" i="5" s="1"/>
  <c r="Q67" i="5" s="1"/>
  <c r="I67" i="5"/>
  <c r="C67" i="5"/>
  <c r="O66" i="5"/>
  <c r="R66" i="5" s="1"/>
  <c r="N66" i="5"/>
  <c r="I66" i="5"/>
  <c r="C66" i="5"/>
  <c r="O65" i="5"/>
  <c r="R65" i="5" s="1"/>
  <c r="N65" i="5"/>
  <c r="P65" i="5" s="1"/>
  <c r="Q65" i="5" s="1"/>
  <c r="I65" i="5"/>
  <c r="C65" i="5"/>
  <c r="O64" i="5"/>
  <c r="R64" i="5" s="1"/>
  <c r="N64" i="5"/>
  <c r="P64" i="5" s="1"/>
  <c r="Q64" i="5" s="1"/>
  <c r="I64" i="5"/>
  <c r="C64" i="5"/>
  <c r="R63" i="5"/>
  <c r="O63" i="5"/>
  <c r="N63" i="5"/>
  <c r="I63" i="5"/>
  <c r="C63" i="5"/>
  <c r="R62" i="5"/>
  <c r="Q62" i="5"/>
  <c r="O62" i="5"/>
  <c r="N62" i="5"/>
  <c r="P62" i="5" s="1"/>
  <c r="I62" i="5"/>
  <c r="C62" i="5"/>
  <c r="O61" i="5"/>
  <c r="R61" i="5" s="1"/>
  <c r="N61" i="5"/>
  <c r="I61" i="5"/>
  <c r="C61" i="5"/>
  <c r="O60" i="5"/>
  <c r="R60" i="5" s="1"/>
  <c r="N60" i="5"/>
  <c r="P60" i="5" s="1"/>
  <c r="Q60" i="5" s="1"/>
  <c r="I60" i="5"/>
  <c r="C60" i="5"/>
  <c r="R59" i="5"/>
  <c r="O59" i="5"/>
  <c r="N59" i="5"/>
  <c r="P59" i="5" s="1"/>
  <c r="Q59" i="5" s="1"/>
  <c r="I59" i="5"/>
  <c r="C59" i="5"/>
  <c r="O58" i="5"/>
  <c r="R58" i="5" s="1"/>
  <c r="N58" i="5"/>
  <c r="I58" i="5"/>
  <c r="C58" i="5"/>
  <c r="O57" i="5"/>
  <c r="R57" i="5" s="1"/>
  <c r="N57" i="5"/>
  <c r="P57" i="5" s="1"/>
  <c r="Q57" i="5" s="1"/>
  <c r="I57" i="5"/>
  <c r="C57" i="5"/>
  <c r="O56" i="5"/>
  <c r="R56" i="5" s="1"/>
  <c r="N56" i="5"/>
  <c r="P56" i="5" s="1"/>
  <c r="Q56" i="5" s="1"/>
  <c r="I56" i="5"/>
  <c r="C56" i="5"/>
  <c r="R55" i="5"/>
  <c r="O55" i="5"/>
  <c r="N55" i="5"/>
  <c r="I55" i="5"/>
  <c r="C55" i="5"/>
  <c r="R54" i="5"/>
  <c r="Q54" i="5"/>
  <c r="O54" i="5"/>
  <c r="N54" i="5"/>
  <c r="P54" i="5" s="1"/>
  <c r="I54" i="5"/>
  <c r="C54" i="5"/>
  <c r="O53" i="5"/>
  <c r="R53" i="5" s="1"/>
  <c r="N53" i="5"/>
  <c r="I53" i="5"/>
  <c r="C53" i="5"/>
  <c r="O52" i="5"/>
  <c r="R52" i="5" s="1"/>
  <c r="N52" i="5"/>
  <c r="P52" i="5" s="1"/>
  <c r="Q52" i="5" s="1"/>
  <c r="I52" i="5"/>
  <c r="C52" i="5"/>
  <c r="R51" i="5"/>
  <c r="Q51" i="5"/>
  <c r="O51" i="5"/>
  <c r="N51" i="5"/>
  <c r="P51" i="5" s="1"/>
  <c r="I51" i="5"/>
  <c r="C51" i="5"/>
  <c r="O50" i="5"/>
  <c r="R50" i="5" s="1"/>
  <c r="N50" i="5"/>
  <c r="I50" i="5"/>
  <c r="C50" i="5"/>
  <c r="O49" i="5"/>
  <c r="R49" i="5" s="1"/>
  <c r="N49" i="5"/>
  <c r="P49" i="5" s="1"/>
  <c r="Q49" i="5" s="1"/>
  <c r="I49" i="5"/>
  <c r="C49" i="5"/>
  <c r="O48" i="5"/>
  <c r="R48" i="5" s="1"/>
  <c r="N48" i="5"/>
  <c r="P48" i="5" s="1"/>
  <c r="Q48" i="5" s="1"/>
  <c r="I48" i="5"/>
  <c r="C48" i="5"/>
  <c r="R47" i="5"/>
  <c r="O47" i="5"/>
  <c r="N47" i="5"/>
  <c r="I47" i="5"/>
  <c r="C47" i="5"/>
  <c r="R46" i="5"/>
  <c r="Q46" i="5"/>
  <c r="O46" i="5"/>
  <c r="N46" i="5"/>
  <c r="P46" i="5" s="1"/>
  <c r="I46" i="5"/>
  <c r="C46" i="5"/>
  <c r="O45" i="5"/>
  <c r="R45" i="5" s="1"/>
  <c r="N45" i="5"/>
  <c r="I45" i="5"/>
  <c r="C45" i="5"/>
  <c r="O44" i="5"/>
  <c r="R44" i="5" s="1"/>
  <c r="N44" i="5"/>
  <c r="I44" i="5"/>
  <c r="C44" i="5"/>
  <c r="R43" i="5"/>
  <c r="Q43" i="5"/>
  <c r="O43" i="5"/>
  <c r="N43" i="5"/>
  <c r="P43" i="5" s="1"/>
  <c r="I43" i="5"/>
  <c r="C43" i="5"/>
  <c r="O42" i="5"/>
  <c r="R42" i="5" s="1"/>
  <c r="N42" i="5"/>
  <c r="I42" i="5"/>
  <c r="C42" i="5"/>
  <c r="O41" i="5"/>
  <c r="R41" i="5" s="1"/>
  <c r="N41" i="5"/>
  <c r="P41" i="5" s="1"/>
  <c r="Q41" i="5" s="1"/>
  <c r="I41" i="5"/>
  <c r="C41" i="5"/>
  <c r="O40" i="5"/>
  <c r="R40" i="5" s="1"/>
  <c r="N40" i="5"/>
  <c r="P40" i="5" s="1"/>
  <c r="Q40" i="5" s="1"/>
  <c r="I40" i="5"/>
  <c r="C40" i="5"/>
  <c r="R39" i="5"/>
  <c r="O39" i="5"/>
  <c r="N39" i="5"/>
  <c r="I39" i="5"/>
  <c r="C39" i="5"/>
  <c r="R38" i="5"/>
  <c r="Q38" i="5"/>
  <c r="O38" i="5"/>
  <c r="N38" i="5"/>
  <c r="P38" i="5" s="1"/>
  <c r="I38" i="5"/>
  <c r="C38" i="5"/>
  <c r="R37" i="5"/>
  <c r="P37" i="5"/>
  <c r="Q37" i="5" s="1"/>
  <c r="O37" i="5"/>
  <c r="N37" i="5"/>
  <c r="I37" i="5"/>
  <c r="C37" i="5"/>
  <c r="R36" i="5"/>
  <c r="P36" i="5"/>
  <c r="Q36" i="5" s="1"/>
  <c r="O36" i="5"/>
  <c r="N36" i="5"/>
  <c r="I36" i="5"/>
  <c r="C36" i="5"/>
  <c r="R35" i="5"/>
  <c r="P35" i="5"/>
  <c r="Q35" i="5" s="1"/>
  <c r="O35" i="5"/>
  <c r="N35" i="5"/>
  <c r="I35" i="5"/>
  <c r="C35" i="5"/>
  <c r="R34" i="5"/>
  <c r="P34" i="5"/>
  <c r="Q34" i="5" s="1"/>
  <c r="O34" i="5"/>
  <c r="N34" i="5"/>
  <c r="I34" i="5"/>
  <c r="C34" i="5"/>
  <c r="R33" i="5"/>
  <c r="P33" i="5"/>
  <c r="Q33" i="5" s="1"/>
  <c r="O33" i="5"/>
  <c r="N33" i="5"/>
  <c r="I33" i="5"/>
  <c r="C33" i="5"/>
  <c r="R32" i="5"/>
  <c r="P32" i="5"/>
  <c r="Q32" i="5" s="1"/>
  <c r="O32" i="5"/>
  <c r="N32" i="5"/>
  <c r="I32" i="5"/>
  <c r="C32" i="5"/>
  <c r="R31" i="5"/>
  <c r="P31" i="5"/>
  <c r="Q31" i="5" s="1"/>
  <c r="O31" i="5"/>
  <c r="N31" i="5"/>
  <c r="I31" i="5"/>
  <c r="C31" i="5"/>
  <c r="R30" i="5"/>
  <c r="P30" i="5"/>
  <c r="Q30" i="5" s="1"/>
  <c r="O30" i="5"/>
  <c r="N30" i="5"/>
  <c r="I30" i="5"/>
  <c r="C30" i="5"/>
  <c r="R29" i="5"/>
  <c r="P29" i="5"/>
  <c r="Q29" i="5" s="1"/>
  <c r="O29" i="5"/>
  <c r="N29" i="5"/>
  <c r="I29" i="5"/>
  <c r="C29" i="5"/>
  <c r="R28" i="5"/>
  <c r="P28" i="5"/>
  <c r="Q28" i="5" s="1"/>
  <c r="O28" i="5"/>
  <c r="N28" i="5"/>
  <c r="I28" i="5"/>
  <c r="C28" i="5"/>
  <c r="R27" i="5"/>
  <c r="P27" i="5"/>
  <c r="Q27" i="5" s="1"/>
  <c r="O27" i="5"/>
  <c r="N27" i="5"/>
  <c r="I27" i="5"/>
  <c r="C27" i="5"/>
  <c r="R26" i="5"/>
  <c r="P26" i="5"/>
  <c r="Q26" i="5" s="1"/>
  <c r="O26" i="5"/>
  <c r="N26" i="5"/>
  <c r="I26" i="5"/>
  <c r="C26" i="5"/>
  <c r="R25" i="5"/>
  <c r="P25" i="5"/>
  <c r="Q25" i="5" s="1"/>
  <c r="O25" i="5"/>
  <c r="N25" i="5"/>
  <c r="I25" i="5"/>
  <c r="C25" i="5"/>
  <c r="R24" i="5"/>
  <c r="P24" i="5"/>
  <c r="Q24" i="5" s="1"/>
  <c r="O24" i="5"/>
  <c r="N24" i="5"/>
  <c r="I24" i="5"/>
  <c r="C24" i="5"/>
  <c r="R23" i="5"/>
  <c r="P23" i="5"/>
  <c r="Q23" i="5" s="1"/>
  <c r="O23" i="5"/>
  <c r="N23" i="5"/>
  <c r="I23" i="5"/>
  <c r="C23" i="5"/>
  <c r="R22" i="5"/>
  <c r="P22" i="5"/>
  <c r="Q22" i="5" s="1"/>
  <c r="O22" i="5"/>
  <c r="N22" i="5"/>
  <c r="I22" i="5"/>
  <c r="C22" i="5"/>
  <c r="R21" i="5"/>
  <c r="P21" i="5"/>
  <c r="Q21" i="5" s="1"/>
  <c r="O21" i="5"/>
  <c r="N21" i="5"/>
  <c r="I21" i="5"/>
  <c r="C21" i="5"/>
  <c r="R20" i="5"/>
  <c r="P20" i="5"/>
  <c r="Q20" i="5" s="1"/>
  <c r="O20" i="5"/>
  <c r="N20" i="5"/>
  <c r="I20" i="5"/>
  <c r="C20" i="5"/>
  <c r="R19" i="5"/>
  <c r="P19" i="5"/>
  <c r="Q19" i="5" s="1"/>
  <c r="O19" i="5"/>
  <c r="N19" i="5"/>
  <c r="I19" i="5"/>
  <c r="C19" i="5"/>
  <c r="R18" i="5"/>
  <c r="P18" i="5"/>
  <c r="Q18" i="5" s="1"/>
  <c r="O18" i="5"/>
  <c r="N18" i="5"/>
  <c r="I18" i="5"/>
  <c r="C18" i="5"/>
  <c r="R17" i="5"/>
  <c r="P17" i="5"/>
  <c r="Q17" i="5" s="1"/>
  <c r="O17" i="5"/>
  <c r="N17" i="5"/>
  <c r="I17" i="5"/>
  <c r="C17" i="5"/>
  <c r="R16" i="5"/>
  <c r="P16" i="5"/>
  <c r="Q16" i="5" s="1"/>
  <c r="O16" i="5"/>
  <c r="N16" i="5"/>
  <c r="I16" i="5"/>
  <c r="C16" i="5"/>
  <c r="R15" i="5"/>
  <c r="P15" i="5"/>
  <c r="Q15" i="5" s="1"/>
  <c r="O15" i="5"/>
  <c r="N15" i="5"/>
  <c r="I15" i="5"/>
  <c r="C15" i="5"/>
  <c r="R14" i="5"/>
  <c r="P14" i="5"/>
  <c r="Q14" i="5" s="1"/>
  <c r="O14" i="5"/>
  <c r="N14" i="5"/>
  <c r="I14" i="5"/>
  <c r="C14" i="5"/>
  <c r="R13" i="5"/>
  <c r="P13" i="5"/>
  <c r="Q13" i="5" s="1"/>
  <c r="O13" i="5"/>
  <c r="N13" i="5"/>
  <c r="I13" i="5"/>
  <c r="C13" i="5"/>
  <c r="R12" i="5"/>
  <c r="P12" i="5"/>
  <c r="Q12" i="5" s="1"/>
  <c r="O12" i="5"/>
  <c r="N12" i="5"/>
  <c r="I12" i="5"/>
  <c r="C12" i="5"/>
  <c r="R11" i="5"/>
  <c r="P11" i="5"/>
  <c r="Q11" i="5" s="1"/>
  <c r="O11" i="5"/>
  <c r="N11" i="5"/>
  <c r="I11" i="5"/>
  <c r="C11" i="5"/>
  <c r="J385" i="4"/>
  <c r="I385" i="4"/>
  <c r="I382" i="4"/>
  <c r="C382" i="4"/>
  <c r="J382" i="4" s="1"/>
  <c r="I381" i="4"/>
  <c r="C381" i="4"/>
  <c r="J381" i="4" s="1"/>
  <c r="J380" i="4"/>
  <c r="I380" i="4"/>
  <c r="C380" i="4"/>
  <c r="I379" i="4"/>
  <c r="C379" i="4"/>
  <c r="J379" i="4" s="1"/>
  <c r="I378" i="4"/>
  <c r="C378" i="4"/>
  <c r="J378" i="4" s="1"/>
  <c r="I377" i="4"/>
  <c r="C377" i="4"/>
  <c r="J377" i="4" s="1"/>
  <c r="I376" i="4"/>
  <c r="C376" i="4"/>
  <c r="J376" i="4" s="1"/>
  <c r="J375" i="4"/>
  <c r="I375" i="4"/>
  <c r="C375" i="4"/>
  <c r="I374" i="4"/>
  <c r="C374" i="4"/>
  <c r="J374" i="4" s="1"/>
  <c r="I373" i="4"/>
  <c r="C373" i="4"/>
  <c r="J373" i="4" s="1"/>
  <c r="J372" i="4"/>
  <c r="I372" i="4"/>
  <c r="C372" i="4"/>
  <c r="I371" i="4"/>
  <c r="C371" i="4"/>
  <c r="J371" i="4" s="1"/>
  <c r="I370" i="4"/>
  <c r="C370" i="4"/>
  <c r="J370" i="4" s="1"/>
  <c r="I369" i="4"/>
  <c r="C369" i="4"/>
  <c r="J369" i="4" s="1"/>
  <c r="I368" i="4"/>
  <c r="C368" i="4"/>
  <c r="J368" i="4" s="1"/>
  <c r="J367" i="4"/>
  <c r="I367" i="4"/>
  <c r="C367" i="4"/>
  <c r="I366" i="4"/>
  <c r="C366" i="4"/>
  <c r="J366" i="4" s="1"/>
  <c r="I365" i="4"/>
  <c r="C365" i="4"/>
  <c r="J365" i="4" s="1"/>
  <c r="J364" i="4"/>
  <c r="I364" i="4"/>
  <c r="C364" i="4"/>
  <c r="I363" i="4"/>
  <c r="C363" i="4"/>
  <c r="J363" i="4" s="1"/>
  <c r="I362" i="4"/>
  <c r="C362" i="4"/>
  <c r="J362" i="4" s="1"/>
  <c r="I361" i="4"/>
  <c r="C361" i="4"/>
  <c r="J361" i="4" s="1"/>
  <c r="I360" i="4"/>
  <c r="C360" i="4"/>
  <c r="J360" i="4" s="1"/>
  <c r="J359" i="4"/>
  <c r="I359" i="4"/>
  <c r="C359" i="4"/>
  <c r="I358" i="4"/>
  <c r="C358" i="4"/>
  <c r="J358" i="4" s="1"/>
  <c r="J357" i="4"/>
  <c r="I357" i="4"/>
  <c r="C357" i="4"/>
  <c r="J356" i="4"/>
  <c r="I356" i="4"/>
  <c r="C356" i="4"/>
  <c r="I355" i="4"/>
  <c r="C355" i="4"/>
  <c r="J355" i="4" s="1"/>
  <c r="I354" i="4"/>
  <c r="C354" i="4"/>
  <c r="J354" i="4" s="1"/>
  <c r="I353" i="4"/>
  <c r="C353" i="4"/>
  <c r="J353" i="4" s="1"/>
  <c r="I352" i="4"/>
  <c r="C352" i="4"/>
  <c r="J352" i="4" s="1"/>
  <c r="J351" i="4"/>
  <c r="I351" i="4"/>
  <c r="C351" i="4"/>
  <c r="I350" i="4"/>
  <c r="C350" i="4"/>
  <c r="J350" i="4" s="1"/>
  <c r="J349" i="4"/>
  <c r="I349" i="4"/>
  <c r="C349" i="4"/>
  <c r="J348" i="4"/>
  <c r="I348" i="4"/>
  <c r="C348" i="4"/>
  <c r="I347" i="4"/>
  <c r="C347" i="4"/>
  <c r="J347" i="4" s="1"/>
  <c r="I346" i="4"/>
  <c r="C346" i="4"/>
  <c r="J346" i="4" s="1"/>
  <c r="I345" i="4"/>
  <c r="C345" i="4"/>
  <c r="J345" i="4" s="1"/>
  <c r="I344" i="4"/>
  <c r="C344" i="4"/>
  <c r="J344" i="4" s="1"/>
  <c r="J343" i="4"/>
  <c r="I343" i="4"/>
  <c r="C343" i="4"/>
  <c r="I342" i="4"/>
  <c r="C342" i="4"/>
  <c r="J342" i="4" s="1"/>
  <c r="I341" i="4"/>
  <c r="C341" i="4"/>
  <c r="J341" i="4" s="1"/>
  <c r="J340" i="4"/>
  <c r="I340" i="4"/>
  <c r="C340" i="4"/>
  <c r="I339" i="4"/>
  <c r="C339" i="4"/>
  <c r="J339" i="4" s="1"/>
  <c r="I338" i="4"/>
  <c r="C338" i="4"/>
  <c r="J338" i="4" s="1"/>
  <c r="I337" i="4"/>
  <c r="C337" i="4"/>
  <c r="J337" i="4" s="1"/>
  <c r="I336" i="4"/>
  <c r="C336" i="4"/>
  <c r="J336" i="4" s="1"/>
  <c r="J335" i="4"/>
  <c r="I335" i="4"/>
  <c r="C335" i="4"/>
  <c r="I334" i="4"/>
  <c r="C334" i="4"/>
  <c r="J334" i="4" s="1"/>
  <c r="I333" i="4"/>
  <c r="C333" i="4"/>
  <c r="J333" i="4" s="1"/>
  <c r="J332" i="4"/>
  <c r="I332" i="4"/>
  <c r="C332" i="4"/>
  <c r="I331" i="4"/>
  <c r="C331" i="4"/>
  <c r="J331" i="4" s="1"/>
  <c r="I330" i="4"/>
  <c r="C330" i="4"/>
  <c r="J330" i="4" s="1"/>
  <c r="I329" i="4"/>
  <c r="C329" i="4"/>
  <c r="J329" i="4" s="1"/>
  <c r="I328" i="4"/>
  <c r="C328" i="4"/>
  <c r="J328" i="4" s="1"/>
  <c r="J327" i="4"/>
  <c r="I327" i="4"/>
  <c r="C327" i="4"/>
  <c r="I326" i="4"/>
  <c r="C326" i="4"/>
  <c r="J326" i="4" s="1"/>
  <c r="J325" i="4"/>
  <c r="I325" i="4"/>
  <c r="C325" i="4"/>
  <c r="J324" i="4"/>
  <c r="I324" i="4"/>
  <c r="C324" i="4"/>
  <c r="I323" i="4"/>
  <c r="C323" i="4"/>
  <c r="J323" i="4" s="1"/>
  <c r="I322" i="4"/>
  <c r="C322" i="4"/>
  <c r="J322" i="4" s="1"/>
  <c r="I321" i="4"/>
  <c r="C321" i="4"/>
  <c r="J321" i="4" s="1"/>
  <c r="I320" i="4"/>
  <c r="C320" i="4"/>
  <c r="J320" i="4" s="1"/>
  <c r="J319" i="4"/>
  <c r="I319" i="4"/>
  <c r="C319" i="4"/>
  <c r="I318" i="4"/>
  <c r="C318" i="4"/>
  <c r="J318" i="4" s="1"/>
  <c r="I317" i="4"/>
  <c r="C317" i="4"/>
  <c r="J317" i="4" s="1"/>
  <c r="J316" i="4"/>
  <c r="I316" i="4"/>
  <c r="C316" i="4"/>
  <c r="I315" i="4"/>
  <c r="C315" i="4"/>
  <c r="J315" i="4" s="1"/>
  <c r="I314" i="4"/>
  <c r="C314" i="4"/>
  <c r="J314" i="4" s="1"/>
  <c r="I313" i="4"/>
  <c r="C313" i="4"/>
  <c r="J313" i="4" s="1"/>
  <c r="I312" i="4"/>
  <c r="C312" i="4"/>
  <c r="J312" i="4" s="1"/>
  <c r="J311" i="4"/>
  <c r="I311" i="4"/>
  <c r="C311" i="4"/>
  <c r="I310" i="4"/>
  <c r="C310" i="4"/>
  <c r="J310" i="4" s="1"/>
  <c r="I309" i="4"/>
  <c r="C309" i="4"/>
  <c r="J309" i="4" s="1"/>
  <c r="J308" i="4"/>
  <c r="I308" i="4"/>
  <c r="C308" i="4"/>
  <c r="I307" i="4"/>
  <c r="C307" i="4"/>
  <c r="J307" i="4" s="1"/>
  <c r="I306" i="4"/>
  <c r="C306" i="4"/>
  <c r="J306" i="4" s="1"/>
  <c r="I305" i="4"/>
  <c r="C305" i="4"/>
  <c r="J305" i="4" s="1"/>
  <c r="I304" i="4"/>
  <c r="C304" i="4"/>
  <c r="J304" i="4" s="1"/>
  <c r="J303" i="4"/>
  <c r="I303" i="4"/>
  <c r="C303" i="4"/>
  <c r="I302" i="4"/>
  <c r="C302" i="4"/>
  <c r="J302" i="4" s="1"/>
  <c r="I301" i="4"/>
  <c r="C301" i="4"/>
  <c r="J301" i="4" s="1"/>
  <c r="J300" i="4"/>
  <c r="I300" i="4"/>
  <c r="C300" i="4"/>
  <c r="I299" i="4"/>
  <c r="C299" i="4"/>
  <c r="J299" i="4" s="1"/>
  <c r="I298" i="4"/>
  <c r="C298" i="4"/>
  <c r="J298" i="4" s="1"/>
  <c r="I297" i="4"/>
  <c r="C297" i="4"/>
  <c r="J297" i="4" s="1"/>
  <c r="I296" i="4"/>
  <c r="C296" i="4"/>
  <c r="J296" i="4" s="1"/>
  <c r="J295" i="4"/>
  <c r="I295" i="4"/>
  <c r="C295" i="4"/>
  <c r="I294" i="4"/>
  <c r="C294" i="4"/>
  <c r="J294" i="4" s="1"/>
  <c r="J293" i="4"/>
  <c r="I293" i="4"/>
  <c r="C293" i="4"/>
  <c r="J292" i="4"/>
  <c r="I292" i="4"/>
  <c r="C292" i="4"/>
  <c r="I291" i="4"/>
  <c r="C291" i="4"/>
  <c r="J291" i="4" s="1"/>
  <c r="I290" i="4"/>
  <c r="C290" i="4"/>
  <c r="J290" i="4" s="1"/>
  <c r="I289" i="4"/>
  <c r="C289" i="4"/>
  <c r="J289" i="4" s="1"/>
  <c r="I288" i="4"/>
  <c r="C288" i="4"/>
  <c r="J288" i="4" s="1"/>
  <c r="J287" i="4"/>
  <c r="I287" i="4"/>
  <c r="C287" i="4"/>
  <c r="I286" i="4"/>
  <c r="C286" i="4"/>
  <c r="J286" i="4" s="1"/>
  <c r="J285" i="4"/>
  <c r="I285" i="4"/>
  <c r="C285" i="4"/>
  <c r="J284" i="4"/>
  <c r="I284" i="4"/>
  <c r="C284" i="4"/>
  <c r="I283" i="4"/>
  <c r="C283" i="4"/>
  <c r="J283" i="4" s="1"/>
  <c r="I282" i="4"/>
  <c r="C282" i="4"/>
  <c r="J282" i="4" s="1"/>
  <c r="I281" i="4"/>
  <c r="C281" i="4"/>
  <c r="J281" i="4" s="1"/>
  <c r="I280" i="4"/>
  <c r="C280" i="4"/>
  <c r="J280" i="4" s="1"/>
  <c r="J279" i="4"/>
  <c r="I279" i="4"/>
  <c r="C279" i="4"/>
  <c r="I278" i="4"/>
  <c r="C278" i="4"/>
  <c r="J278" i="4" s="1"/>
  <c r="I277" i="4"/>
  <c r="C277" i="4"/>
  <c r="J277" i="4" s="1"/>
  <c r="J276" i="4"/>
  <c r="I276" i="4"/>
  <c r="C276" i="4"/>
  <c r="I275" i="4"/>
  <c r="C275" i="4"/>
  <c r="J275" i="4" s="1"/>
  <c r="I274" i="4"/>
  <c r="C274" i="4"/>
  <c r="J274" i="4" s="1"/>
  <c r="I273" i="4"/>
  <c r="C273" i="4"/>
  <c r="J273" i="4" s="1"/>
  <c r="I272" i="4"/>
  <c r="C272" i="4"/>
  <c r="J272" i="4" s="1"/>
  <c r="J271" i="4"/>
  <c r="I271" i="4"/>
  <c r="C271" i="4"/>
  <c r="I270" i="4"/>
  <c r="C270" i="4"/>
  <c r="J270" i="4" s="1"/>
  <c r="J269" i="4"/>
  <c r="I269" i="4"/>
  <c r="C269" i="4"/>
  <c r="J268" i="4"/>
  <c r="I268" i="4"/>
  <c r="C268" i="4"/>
  <c r="I267" i="4"/>
  <c r="C267" i="4"/>
  <c r="J267" i="4" s="1"/>
  <c r="I266" i="4"/>
  <c r="C266" i="4"/>
  <c r="J266" i="4" s="1"/>
  <c r="I265" i="4"/>
  <c r="C265" i="4"/>
  <c r="J265" i="4" s="1"/>
  <c r="I264" i="4"/>
  <c r="C264" i="4"/>
  <c r="J264" i="4" s="1"/>
  <c r="J263" i="4"/>
  <c r="I263" i="4"/>
  <c r="C263" i="4"/>
  <c r="I262" i="4"/>
  <c r="C262" i="4"/>
  <c r="J262" i="4" s="1"/>
  <c r="J261" i="4"/>
  <c r="I261" i="4"/>
  <c r="C261" i="4"/>
  <c r="J260" i="4"/>
  <c r="I260" i="4"/>
  <c r="C260" i="4"/>
  <c r="I259" i="4"/>
  <c r="C259" i="4"/>
  <c r="J259" i="4" s="1"/>
  <c r="I258" i="4"/>
  <c r="C258" i="4"/>
  <c r="J258" i="4" s="1"/>
  <c r="I257" i="4"/>
  <c r="C257" i="4"/>
  <c r="J257" i="4" s="1"/>
  <c r="I256" i="4"/>
  <c r="C256" i="4"/>
  <c r="J256" i="4" s="1"/>
  <c r="J255" i="4"/>
  <c r="I255" i="4"/>
  <c r="C255" i="4"/>
  <c r="I254" i="4"/>
  <c r="C254" i="4"/>
  <c r="J254" i="4" s="1"/>
  <c r="I253" i="4"/>
  <c r="C253" i="4"/>
  <c r="J253" i="4" s="1"/>
  <c r="J252" i="4"/>
  <c r="I252" i="4"/>
  <c r="C252" i="4"/>
  <c r="I251" i="4"/>
  <c r="C251" i="4"/>
  <c r="J251" i="4" s="1"/>
  <c r="I250" i="4"/>
  <c r="C250" i="4"/>
  <c r="J250" i="4" s="1"/>
  <c r="I249" i="4"/>
  <c r="C249" i="4"/>
  <c r="J249" i="4" s="1"/>
  <c r="I248" i="4"/>
  <c r="C248" i="4"/>
  <c r="J248" i="4" s="1"/>
  <c r="J247" i="4"/>
  <c r="I247" i="4"/>
  <c r="C247" i="4"/>
  <c r="I246" i="4"/>
  <c r="C246" i="4"/>
  <c r="J246" i="4" s="1"/>
  <c r="I245" i="4"/>
  <c r="C245" i="4"/>
  <c r="J245" i="4" s="1"/>
  <c r="J244" i="4"/>
  <c r="I244" i="4"/>
  <c r="C244" i="4"/>
  <c r="I243" i="4"/>
  <c r="C243" i="4"/>
  <c r="J243" i="4" s="1"/>
  <c r="I242" i="4"/>
  <c r="C242" i="4"/>
  <c r="J242" i="4" s="1"/>
  <c r="I241" i="4"/>
  <c r="C241" i="4"/>
  <c r="J241" i="4" s="1"/>
  <c r="I240" i="4"/>
  <c r="C240" i="4"/>
  <c r="J240" i="4" s="1"/>
  <c r="J239" i="4"/>
  <c r="I239" i="4"/>
  <c r="C239" i="4"/>
  <c r="I238" i="4"/>
  <c r="C238" i="4"/>
  <c r="J238" i="4" s="1"/>
  <c r="I237" i="4"/>
  <c r="C237" i="4"/>
  <c r="J237" i="4" s="1"/>
  <c r="J236" i="4"/>
  <c r="I236" i="4"/>
  <c r="C236" i="4"/>
  <c r="I235" i="4"/>
  <c r="C235" i="4"/>
  <c r="J235" i="4" s="1"/>
  <c r="I234" i="4"/>
  <c r="C234" i="4"/>
  <c r="J234" i="4" s="1"/>
  <c r="I233" i="4"/>
  <c r="C233" i="4"/>
  <c r="J233" i="4" s="1"/>
  <c r="I232" i="4"/>
  <c r="C232" i="4"/>
  <c r="J232" i="4" s="1"/>
  <c r="J231" i="4"/>
  <c r="I231" i="4"/>
  <c r="C231" i="4"/>
  <c r="I230" i="4"/>
  <c r="C230" i="4"/>
  <c r="J230" i="4" s="1"/>
  <c r="J229" i="4"/>
  <c r="I229" i="4"/>
  <c r="C229" i="4"/>
  <c r="J228" i="4"/>
  <c r="I228" i="4"/>
  <c r="C228" i="4"/>
  <c r="I227" i="4"/>
  <c r="C227" i="4"/>
  <c r="J227" i="4" s="1"/>
  <c r="I226" i="4"/>
  <c r="C226" i="4"/>
  <c r="J226" i="4" s="1"/>
  <c r="I225" i="4"/>
  <c r="C225" i="4"/>
  <c r="J225" i="4" s="1"/>
  <c r="I224" i="4"/>
  <c r="C224" i="4"/>
  <c r="J224" i="4" s="1"/>
  <c r="J223" i="4"/>
  <c r="I223" i="4"/>
  <c r="C223" i="4"/>
  <c r="I222" i="4"/>
  <c r="C222" i="4"/>
  <c r="J222" i="4" s="1"/>
  <c r="J221" i="4"/>
  <c r="I221" i="4"/>
  <c r="C221" i="4"/>
  <c r="J220" i="4"/>
  <c r="I220" i="4"/>
  <c r="C220" i="4"/>
  <c r="I219" i="4"/>
  <c r="C219" i="4"/>
  <c r="J219" i="4" s="1"/>
  <c r="I218" i="4"/>
  <c r="C218" i="4"/>
  <c r="J218" i="4" s="1"/>
  <c r="I217" i="4"/>
  <c r="C217" i="4"/>
  <c r="J217" i="4" s="1"/>
  <c r="I216" i="4"/>
  <c r="C216" i="4"/>
  <c r="J216" i="4" s="1"/>
  <c r="J215" i="4"/>
  <c r="I215" i="4"/>
  <c r="C215" i="4"/>
  <c r="I214" i="4"/>
  <c r="C214" i="4"/>
  <c r="J214" i="4" s="1"/>
  <c r="I213" i="4"/>
  <c r="C213" i="4"/>
  <c r="J213" i="4" s="1"/>
  <c r="J212" i="4"/>
  <c r="I212" i="4"/>
  <c r="C212" i="4"/>
  <c r="I211" i="4"/>
  <c r="C211" i="4"/>
  <c r="J211" i="4" s="1"/>
  <c r="I210" i="4"/>
  <c r="C210" i="4"/>
  <c r="J210" i="4" s="1"/>
  <c r="I209" i="4"/>
  <c r="C209" i="4"/>
  <c r="J209" i="4" s="1"/>
  <c r="I208" i="4"/>
  <c r="C208" i="4"/>
  <c r="J208" i="4" s="1"/>
  <c r="J207" i="4"/>
  <c r="I207" i="4"/>
  <c r="C207" i="4"/>
  <c r="I206" i="4"/>
  <c r="C206" i="4"/>
  <c r="J206" i="4" s="1"/>
  <c r="I205" i="4"/>
  <c r="C205" i="4"/>
  <c r="J205" i="4" s="1"/>
  <c r="J204" i="4"/>
  <c r="I204" i="4"/>
  <c r="C204" i="4"/>
  <c r="I203" i="4"/>
  <c r="C203" i="4"/>
  <c r="J203" i="4" s="1"/>
  <c r="I202" i="4"/>
  <c r="C202" i="4"/>
  <c r="J202" i="4" s="1"/>
  <c r="I201" i="4"/>
  <c r="C201" i="4"/>
  <c r="J201" i="4" s="1"/>
  <c r="I200" i="4"/>
  <c r="C200" i="4"/>
  <c r="J200" i="4" s="1"/>
  <c r="J199" i="4"/>
  <c r="I199" i="4"/>
  <c r="C199" i="4"/>
  <c r="I198" i="4"/>
  <c r="C198" i="4"/>
  <c r="J198" i="4" s="1"/>
  <c r="J197" i="4"/>
  <c r="I197" i="4"/>
  <c r="C197" i="4"/>
  <c r="J196" i="4"/>
  <c r="I196" i="4"/>
  <c r="C196" i="4"/>
  <c r="I195" i="4"/>
  <c r="C195" i="4"/>
  <c r="J195" i="4" s="1"/>
  <c r="I194" i="4"/>
  <c r="C194" i="4"/>
  <c r="J194" i="4" s="1"/>
  <c r="I193" i="4"/>
  <c r="C193" i="4"/>
  <c r="J193" i="4" s="1"/>
  <c r="I192" i="4"/>
  <c r="C192" i="4"/>
  <c r="J192" i="4" s="1"/>
  <c r="J191" i="4"/>
  <c r="I191" i="4"/>
  <c r="C191" i="4"/>
  <c r="I190" i="4"/>
  <c r="C190" i="4"/>
  <c r="J190" i="4" s="1"/>
  <c r="I189" i="4"/>
  <c r="C189" i="4"/>
  <c r="J189" i="4" s="1"/>
  <c r="J188" i="4"/>
  <c r="I188" i="4"/>
  <c r="C188" i="4"/>
  <c r="I187" i="4"/>
  <c r="C187" i="4"/>
  <c r="J187" i="4" s="1"/>
  <c r="I186" i="4"/>
  <c r="C186" i="4"/>
  <c r="J186" i="4" s="1"/>
  <c r="I185" i="4"/>
  <c r="C185" i="4"/>
  <c r="J185" i="4" s="1"/>
  <c r="I184" i="4"/>
  <c r="C184" i="4"/>
  <c r="J184" i="4" s="1"/>
  <c r="J183" i="4"/>
  <c r="I183" i="4"/>
  <c r="C183" i="4"/>
  <c r="I182" i="4"/>
  <c r="C182" i="4"/>
  <c r="J182" i="4" s="1"/>
  <c r="I181" i="4"/>
  <c r="C181" i="4"/>
  <c r="J181" i="4" s="1"/>
  <c r="J180" i="4"/>
  <c r="I180" i="4"/>
  <c r="C180" i="4"/>
  <c r="I179" i="4"/>
  <c r="C179" i="4"/>
  <c r="J179" i="4" s="1"/>
  <c r="I178" i="4"/>
  <c r="C178" i="4"/>
  <c r="J178" i="4" s="1"/>
  <c r="I177" i="4"/>
  <c r="C177" i="4"/>
  <c r="J177" i="4" s="1"/>
  <c r="I176" i="4"/>
  <c r="C176" i="4"/>
  <c r="J176" i="4" s="1"/>
  <c r="J175" i="4"/>
  <c r="I175" i="4"/>
  <c r="C175" i="4"/>
  <c r="I174" i="4"/>
  <c r="C174" i="4"/>
  <c r="J174" i="4" s="1"/>
  <c r="I173" i="4"/>
  <c r="C173" i="4"/>
  <c r="J173" i="4" s="1"/>
  <c r="J172" i="4"/>
  <c r="I172" i="4"/>
  <c r="C172" i="4"/>
  <c r="I171" i="4"/>
  <c r="C171" i="4"/>
  <c r="J171" i="4" s="1"/>
  <c r="I170" i="4"/>
  <c r="C170" i="4"/>
  <c r="J170" i="4" s="1"/>
  <c r="I169" i="4"/>
  <c r="C169" i="4"/>
  <c r="J169" i="4" s="1"/>
  <c r="I168" i="4"/>
  <c r="C168" i="4"/>
  <c r="J168" i="4" s="1"/>
  <c r="J167" i="4"/>
  <c r="I167" i="4"/>
  <c r="C167" i="4"/>
  <c r="I166" i="4"/>
  <c r="C166" i="4"/>
  <c r="J166" i="4" s="1"/>
  <c r="J165" i="4"/>
  <c r="I165" i="4"/>
  <c r="C165" i="4"/>
  <c r="J164" i="4"/>
  <c r="I164" i="4"/>
  <c r="C164" i="4"/>
  <c r="I163" i="4"/>
  <c r="C163" i="4"/>
  <c r="J163" i="4" s="1"/>
  <c r="I162" i="4"/>
  <c r="C162" i="4"/>
  <c r="J162" i="4" s="1"/>
  <c r="I161" i="4"/>
  <c r="C161" i="4"/>
  <c r="J161" i="4" s="1"/>
  <c r="I160" i="4"/>
  <c r="C160" i="4"/>
  <c r="J160" i="4" s="1"/>
  <c r="J159" i="4"/>
  <c r="I159" i="4"/>
  <c r="C159" i="4"/>
  <c r="I158" i="4"/>
  <c r="C158" i="4"/>
  <c r="J158" i="4" s="1"/>
  <c r="J157" i="4"/>
  <c r="I157" i="4"/>
  <c r="C157" i="4"/>
  <c r="J156" i="4"/>
  <c r="I156" i="4"/>
  <c r="C156" i="4"/>
  <c r="I155" i="4"/>
  <c r="C155" i="4"/>
  <c r="J155" i="4" s="1"/>
  <c r="I154" i="4"/>
  <c r="C154" i="4"/>
  <c r="J154" i="4" s="1"/>
  <c r="I153" i="4"/>
  <c r="C153" i="4"/>
  <c r="J153" i="4" s="1"/>
  <c r="I152" i="4"/>
  <c r="C152" i="4"/>
  <c r="J152" i="4" s="1"/>
  <c r="J151" i="4"/>
  <c r="I151" i="4"/>
  <c r="C151" i="4"/>
  <c r="I150" i="4"/>
  <c r="C150" i="4"/>
  <c r="J150" i="4" s="1"/>
  <c r="I149" i="4"/>
  <c r="C149" i="4"/>
  <c r="J149" i="4" s="1"/>
  <c r="J148" i="4"/>
  <c r="I148" i="4"/>
  <c r="C148" i="4"/>
  <c r="I147" i="4"/>
  <c r="C147" i="4"/>
  <c r="J147" i="4" s="1"/>
  <c r="I146" i="4"/>
  <c r="C146" i="4"/>
  <c r="J146" i="4" s="1"/>
  <c r="I145" i="4"/>
  <c r="C145" i="4"/>
  <c r="J145" i="4" s="1"/>
  <c r="I144" i="4"/>
  <c r="C144" i="4"/>
  <c r="J144" i="4" s="1"/>
  <c r="J143" i="4"/>
  <c r="I143" i="4"/>
  <c r="C143" i="4"/>
  <c r="I142" i="4"/>
  <c r="C142" i="4"/>
  <c r="J142" i="4" s="1"/>
  <c r="I141" i="4"/>
  <c r="C141" i="4"/>
  <c r="J141" i="4" s="1"/>
  <c r="J384" i="4" s="1"/>
  <c r="C5" i="4" s="1"/>
  <c r="J140" i="4"/>
  <c r="I140" i="4"/>
  <c r="C140" i="4"/>
  <c r="I139" i="4"/>
  <c r="C139" i="4"/>
  <c r="J139" i="4" s="1"/>
  <c r="I138" i="4"/>
  <c r="C138" i="4"/>
  <c r="J138" i="4" s="1"/>
  <c r="I137" i="4"/>
  <c r="C137" i="4"/>
  <c r="J137" i="4" s="1"/>
  <c r="I136" i="4"/>
  <c r="C136" i="4"/>
  <c r="J136" i="4" s="1"/>
  <c r="J135" i="4"/>
  <c r="I135" i="4"/>
  <c r="C135" i="4"/>
  <c r="I134" i="4"/>
  <c r="C134" i="4"/>
  <c r="J134" i="4" s="1"/>
  <c r="J133" i="4"/>
  <c r="I133" i="4"/>
  <c r="C133" i="4"/>
  <c r="J132" i="4"/>
  <c r="I132" i="4"/>
  <c r="C132" i="4"/>
  <c r="I131" i="4"/>
  <c r="C131" i="4"/>
  <c r="J131" i="4" s="1"/>
  <c r="I130" i="4"/>
  <c r="C130" i="4"/>
  <c r="J130" i="4" s="1"/>
  <c r="I129" i="4"/>
  <c r="C129" i="4"/>
  <c r="J129" i="4" s="1"/>
  <c r="I128" i="4"/>
  <c r="C128" i="4"/>
  <c r="J128" i="4" s="1"/>
  <c r="J127" i="4"/>
  <c r="I127" i="4"/>
  <c r="C127" i="4"/>
  <c r="I126" i="4"/>
  <c r="C126" i="4"/>
  <c r="J126" i="4" s="1"/>
  <c r="I125" i="4"/>
  <c r="C125" i="4"/>
  <c r="J125" i="4" s="1"/>
  <c r="J124" i="4"/>
  <c r="I124" i="4"/>
  <c r="C124" i="4"/>
  <c r="I123" i="4"/>
  <c r="C123" i="4"/>
  <c r="J123" i="4" s="1"/>
  <c r="I122" i="4"/>
  <c r="C122" i="4"/>
  <c r="J122" i="4" s="1"/>
  <c r="I121" i="4"/>
  <c r="C121" i="4"/>
  <c r="J121" i="4" s="1"/>
  <c r="I120" i="4"/>
  <c r="C120" i="4"/>
  <c r="J120" i="4" s="1"/>
  <c r="J119" i="4"/>
  <c r="I119" i="4"/>
  <c r="C119" i="4"/>
  <c r="I118" i="4"/>
  <c r="C118" i="4"/>
  <c r="J118" i="4" s="1"/>
  <c r="I117" i="4"/>
  <c r="C117" i="4"/>
  <c r="J117" i="4" s="1"/>
  <c r="J116" i="4"/>
  <c r="I116" i="4"/>
  <c r="C116" i="4"/>
  <c r="I115" i="4"/>
  <c r="C115" i="4"/>
  <c r="J115" i="4" s="1"/>
  <c r="I114" i="4"/>
  <c r="C114" i="4"/>
  <c r="J114" i="4" s="1"/>
  <c r="I113" i="4"/>
  <c r="C113" i="4"/>
  <c r="J113" i="4" s="1"/>
  <c r="I112" i="4"/>
  <c r="C112" i="4"/>
  <c r="J112" i="4" s="1"/>
  <c r="J111" i="4"/>
  <c r="I111" i="4"/>
  <c r="C111" i="4"/>
  <c r="I110" i="4"/>
  <c r="C110" i="4"/>
  <c r="J110" i="4" s="1"/>
  <c r="I109" i="4"/>
  <c r="C109" i="4"/>
  <c r="J109" i="4" s="1"/>
  <c r="J108" i="4"/>
  <c r="I108" i="4"/>
  <c r="C108" i="4"/>
  <c r="I107" i="4"/>
  <c r="C107" i="4"/>
  <c r="J107" i="4" s="1"/>
  <c r="I106" i="4"/>
  <c r="C106" i="4"/>
  <c r="J106" i="4" s="1"/>
  <c r="I105" i="4"/>
  <c r="C105" i="4"/>
  <c r="J105" i="4" s="1"/>
  <c r="I104" i="4"/>
  <c r="C104" i="4"/>
  <c r="J104" i="4" s="1"/>
  <c r="J103" i="4"/>
  <c r="I103" i="4"/>
  <c r="C103" i="4"/>
  <c r="I102" i="4"/>
  <c r="C102" i="4"/>
  <c r="J102" i="4" s="1"/>
  <c r="J101" i="4"/>
  <c r="I101" i="4"/>
  <c r="C101" i="4"/>
  <c r="J100" i="4"/>
  <c r="I100" i="4"/>
  <c r="C100" i="4"/>
  <c r="I99" i="4"/>
  <c r="C99" i="4"/>
  <c r="J99" i="4" s="1"/>
  <c r="I98" i="4"/>
  <c r="C98" i="4"/>
  <c r="J98" i="4" s="1"/>
  <c r="I97" i="4"/>
  <c r="C97" i="4"/>
  <c r="J97" i="4" s="1"/>
  <c r="I96" i="4"/>
  <c r="C96" i="4"/>
  <c r="J96" i="4" s="1"/>
  <c r="J95" i="4"/>
  <c r="I95" i="4"/>
  <c r="C95" i="4"/>
  <c r="I94" i="4"/>
  <c r="C94" i="4"/>
  <c r="J94" i="4" s="1"/>
  <c r="J93" i="4"/>
  <c r="I93" i="4"/>
  <c r="C93" i="4"/>
  <c r="J92" i="4"/>
  <c r="I92" i="4"/>
  <c r="C92" i="4"/>
  <c r="I91" i="4"/>
  <c r="C91" i="4"/>
  <c r="J91" i="4" s="1"/>
  <c r="I90" i="4"/>
  <c r="C90" i="4"/>
  <c r="J90" i="4" s="1"/>
  <c r="I89" i="4"/>
  <c r="C89" i="4"/>
  <c r="J89" i="4" s="1"/>
  <c r="I88" i="4"/>
  <c r="C88" i="4"/>
  <c r="J88" i="4" s="1"/>
  <c r="J87" i="4"/>
  <c r="I87" i="4"/>
  <c r="C87" i="4"/>
  <c r="I86" i="4"/>
  <c r="C86" i="4"/>
  <c r="J86" i="4" s="1"/>
  <c r="I85" i="4"/>
  <c r="C85" i="4"/>
  <c r="J85" i="4" s="1"/>
  <c r="J84" i="4"/>
  <c r="I84" i="4"/>
  <c r="C84" i="4"/>
  <c r="I83" i="4"/>
  <c r="C83" i="4"/>
  <c r="J83" i="4" s="1"/>
  <c r="I82" i="4"/>
  <c r="C82" i="4"/>
  <c r="J82" i="4" s="1"/>
  <c r="I81" i="4"/>
  <c r="C81" i="4"/>
  <c r="J81" i="4" s="1"/>
  <c r="I80" i="4"/>
  <c r="C80" i="4"/>
  <c r="J80" i="4" s="1"/>
  <c r="J79" i="4"/>
  <c r="I79" i="4"/>
  <c r="C79" i="4"/>
  <c r="I78" i="4"/>
  <c r="C78" i="4"/>
  <c r="J78" i="4" s="1"/>
  <c r="J77" i="4"/>
  <c r="I77" i="4"/>
  <c r="C77" i="4"/>
  <c r="J76" i="4"/>
  <c r="I76" i="4"/>
  <c r="C76" i="4"/>
  <c r="I75" i="4"/>
  <c r="C75" i="4"/>
  <c r="J75" i="4" s="1"/>
  <c r="I74" i="4"/>
  <c r="C74" i="4"/>
  <c r="J74" i="4" s="1"/>
  <c r="I73" i="4"/>
  <c r="C73" i="4"/>
  <c r="J73" i="4" s="1"/>
  <c r="I72" i="4"/>
  <c r="C72" i="4"/>
  <c r="J72" i="4" s="1"/>
  <c r="J71" i="4"/>
  <c r="I71" i="4"/>
  <c r="C71" i="4"/>
  <c r="I70" i="4"/>
  <c r="C70" i="4"/>
  <c r="J70" i="4" s="1"/>
  <c r="J69" i="4"/>
  <c r="I69" i="4"/>
  <c r="C69" i="4"/>
  <c r="J68" i="4"/>
  <c r="I68" i="4"/>
  <c r="C68" i="4"/>
  <c r="I67" i="4"/>
  <c r="C67" i="4"/>
  <c r="J67" i="4" s="1"/>
  <c r="I66" i="4"/>
  <c r="C66" i="4"/>
  <c r="J66" i="4" s="1"/>
  <c r="I65" i="4"/>
  <c r="C65" i="4"/>
  <c r="J65" i="4" s="1"/>
  <c r="I64" i="4"/>
  <c r="C64" i="4"/>
  <c r="J64" i="4" s="1"/>
  <c r="J63" i="4"/>
  <c r="I63" i="4"/>
  <c r="C63" i="4"/>
  <c r="I62" i="4"/>
  <c r="C62" i="4"/>
  <c r="J62" i="4" s="1"/>
  <c r="I61" i="4"/>
  <c r="C61" i="4"/>
  <c r="J61" i="4" s="1"/>
  <c r="J60" i="4"/>
  <c r="I60" i="4"/>
  <c r="C60" i="4"/>
  <c r="I59" i="4"/>
  <c r="C59" i="4"/>
  <c r="J59" i="4" s="1"/>
  <c r="I58" i="4"/>
  <c r="C58" i="4"/>
  <c r="J58" i="4" s="1"/>
  <c r="I57" i="4"/>
  <c r="C57" i="4"/>
  <c r="J57" i="4" s="1"/>
  <c r="I56" i="4"/>
  <c r="C56" i="4"/>
  <c r="J56" i="4" s="1"/>
  <c r="J55" i="4"/>
  <c r="I55" i="4"/>
  <c r="C55" i="4"/>
  <c r="I54" i="4"/>
  <c r="C54" i="4"/>
  <c r="J54" i="4" s="1"/>
  <c r="I53" i="4"/>
  <c r="C53" i="4"/>
  <c r="J53" i="4" s="1"/>
  <c r="J52" i="4"/>
  <c r="I52" i="4"/>
  <c r="C52" i="4"/>
  <c r="I51" i="4"/>
  <c r="C51" i="4"/>
  <c r="J51" i="4" s="1"/>
  <c r="I50" i="4"/>
  <c r="C50" i="4"/>
  <c r="J50" i="4" s="1"/>
  <c r="I49" i="4"/>
  <c r="C49" i="4"/>
  <c r="J49" i="4" s="1"/>
  <c r="I48" i="4"/>
  <c r="C48" i="4"/>
  <c r="J48" i="4" s="1"/>
  <c r="J47" i="4"/>
  <c r="I47" i="4"/>
  <c r="C47" i="4"/>
  <c r="I46" i="4"/>
  <c r="C46" i="4"/>
  <c r="J46" i="4" s="1"/>
  <c r="I45" i="4"/>
  <c r="C45" i="4"/>
  <c r="J45" i="4" s="1"/>
  <c r="J44" i="4"/>
  <c r="I44" i="4"/>
  <c r="C44" i="4"/>
  <c r="I43" i="4"/>
  <c r="C43" i="4"/>
  <c r="J43" i="4" s="1"/>
  <c r="I42" i="4"/>
  <c r="C42" i="4"/>
  <c r="J42" i="4" s="1"/>
  <c r="I41" i="4"/>
  <c r="C41" i="4"/>
  <c r="J41" i="4" s="1"/>
  <c r="I40" i="4"/>
  <c r="C40" i="4"/>
  <c r="J40" i="4" s="1"/>
  <c r="J39" i="4"/>
  <c r="I39" i="4"/>
  <c r="C39" i="4"/>
  <c r="I38" i="4"/>
  <c r="C38" i="4"/>
  <c r="J38" i="4" s="1"/>
  <c r="I37" i="4"/>
  <c r="C37" i="4"/>
  <c r="J37" i="4" s="1"/>
  <c r="J36" i="4"/>
  <c r="I36" i="4"/>
  <c r="C36" i="4"/>
  <c r="I35" i="4"/>
  <c r="C35" i="4"/>
  <c r="J35" i="4" s="1"/>
  <c r="I34" i="4"/>
  <c r="C34" i="4"/>
  <c r="J34" i="4" s="1"/>
  <c r="I33" i="4"/>
  <c r="C33" i="4"/>
  <c r="J33" i="4" s="1"/>
  <c r="I32" i="4"/>
  <c r="C32" i="4"/>
  <c r="J32" i="4" s="1"/>
  <c r="J31" i="4"/>
  <c r="I31" i="4"/>
  <c r="C31" i="4"/>
  <c r="I30" i="4"/>
  <c r="C30" i="4"/>
  <c r="J30" i="4" s="1"/>
  <c r="I29" i="4"/>
  <c r="C29" i="4"/>
  <c r="J29" i="4" s="1"/>
  <c r="J28" i="4"/>
  <c r="I28" i="4"/>
  <c r="C28" i="4"/>
  <c r="I27" i="4"/>
  <c r="C27" i="4"/>
  <c r="J27" i="4" s="1"/>
  <c r="I26" i="4"/>
  <c r="C26" i="4"/>
  <c r="J26" i="4" s="1"/>
  <c r="I25" i="4"/>
  <c r="C25" i="4"/>
  <c r="J25" i="4" s="1"/>
  <c r="I24" i="4"/>
  <c r="C24" i="4"/>
  <c r="J24" i="4" s="1"/>
  <c r="J23" i="4"/>
  <c r="I23" i="4"/>
  <c r="C23" i="4"/>
  <c r="I22" i="4"/>
  <c r="C22" i="4"/>
  <c r="J22" i="4" s="1"/>
  <c r="I21" i="4"/>
  <c r="C21" i="4"/>
  <c r="J21" i="4" s="1"/>
  <c r="J20" i="4"/>
  <c r="I20" i="4"/>
  <c r="C20" i="4"/>
  <c r="I19" i="4"/>
  <c r="C19" i="4"/>
  <c r="J19" i="4" s="1"/>
  <c r="I18" i="4"/>
  <c r="C18" i="4"/>
  <c r="J18" i="4" s="1"/>
  <c r="I17" i="4"/>
  <c r="C17" i="4"/>
  <c r="J17" i="4" s="1"/>
  <c r="I16" i="4"/>
  <c r="C16" i="4"/>
  <c r="J16" i="4" s="1"/>
  <c r="J15" i="4"/>
  <c r="I15" i="4"/>
  <c r="C15" i="4"/>
  <c r="I14" i="4"/>
  <c r="C14" i="4"/>
  <c r="J14" i="4" s="1"/>
  <c r="I13" i="4"/>
  <c r="C13" i="4"/>
  <c r="J13" i="4" s="1"/>
  <c r="J12" i="4"/>
  <c r="I12" i="4"/>
  <c r="C12" i="4"/>
  <c r="I11" i="4"/>
  <c r="C11" i="4"/>
  <c r="J11" i="4" s="1"/>
  <c r="S194" i="3"/>
  <c r="R194" i="3"/>
  <c r="AI193" i="3"/>
  <c r="Q193" i="3"/>
  <c r="AF191" i="3"/>
  <c r="AI191" i="3" s="1"/>
  <c r="AE191" i="3"/>
  <c r="Y191" i="3"/>
  <c r="N191" i="3"/>
  <c r="Q191" i="3" s="1"/>
  <c r="M191" i="3"/>
  <c r="C191" i="3"/>
  <c r="AF190" i="3"/>
  <c r="AI190" i="3" s="1"/>
  <c r="AE190" i="3"/>
  <c r="Y190" i="3"/>
  <c r="N190" i="3"/>
  <c r="Q190" i="3" s="1"/>
  <c r="M190" i="3"/>
  <c r="C190" i="3"/>
  <c r="AF189" i="3"/>
  <c r="AI189" i="3" s="1"/>
  <c r="AE189" i="3"/>
  <c r="Y189" i="3"/>
  <c r="N189" i="3"/>
  <c r="Q189" i="3" s="1"/>
  <c r="M189" i="3"/>
  <c r="C189" i="3"/>
  <c r="AF188" i="3"/>
  <c r="AE188" i="3"/>
  <c r="Y188" i="3"/>
  <c r="N188" i="3"/>
  <c r="Q188" i="3" s="1"/>
  <c r="M188" i="3"/>
  <c r="C188" i="3"/>
  <c r="AF187" i="3"/>
  <c r="AI187" i="3" s="1"/>
  <c r="AE187" i="3"/>
  <c r="Y187" i="3"/>
  <c r="N187" i="3"/>
  <c r="Q187" i="3" s="1"/>
  <c r="M187" i="3"/>
  <c r="C187" i="3"/>
  <c r="AF186" i="3"/>
  <c r="AE186" i="3"/>
  <c r="Y186" i="3"/>
  <c r="N186" i="3"/>
  <c r="Q186" i="3" s="1"/>
  <c r="M186" i="3"/>
  <c r="C186" i="3"/>
  <c r="AF185" i="3"/>
  <c r="AI185" i="3" s="1"/>
  <c r="AE185" i="3"/>
  <c r="Y185" i="3"/>
  <c r="N185" i="3"/>
  <c r="Q185" i="3" s="1"/>
  <c r="M185" i="3"/>
  <c r="C185" i="3"/>
  <c r="AF184" i="3"/>
  <c r="AE184" i="3"/>
  <c r="Y184" i="3"/>
  <c r="N184" i="3"/>
  <c r="Q184" i="3" s="1"/>
  <c r="M184" i="3"/>
  <c r="C184" i="3"/>
  <c r="AF183" i="3"/>
  <c r="AI183" i="3" s="1"/>
  <c r="AE183" i="3"/>
  <c r="Y183" i="3"/>
  <c r="N183" i="3"/>
  <c r="Q183" i="3" s="1"/>
  <c r="M183" i="3"/>
  <c r="C183" i="3"/>
  <c r="AF182" i="3"/>
  <c r="AE182" i="3"/>
  <c r="Y182" i="3"/>
  <c r="N182" i="3"/>
  <c r="Q182" i="3" s="1"/>
  <c r="M182" i="3"/>
  <c r="C182" i="3"/>
  <c r="AF181" i="3"/>
  <c r="AI181" i="3" s="1"/>
  <c r="AE181" i="3"/>
  <c r="Y181" i="3"/>
  <c r="N181" i="3"/>
  <c r="Q181" i="3" s="1"/>
  <c r="M181" i="3"/>
  <c r="C181" i="3"/>
  <c r="AF180" i="3"/>
  <c r="AE180" i="3"/>
  <c r="Y180" i="3"/>
  <c r="N180" i="3"/>
  <c r="Q180" i="3" s="1"/>
  <c r="M180" i="3"/>
  <c r="C180" i="3"/>
  <c r="AF179" i="3"/>
  <c r="AI179" i="3" s="1"/>
  <c r="AE179" i="3"/>
  <c r="Y179" i="3"/>
  <c r="N179" i="3"/>
  <c r="M179" i="3"/>
  <c r="C179" i="3"/>
  <c r="AF178" i="3"/>
  <c r="AI178" i="3" s="1"/>
  <c r="AE178" i="3"/>
  <c r="Y178" i="3"/>
  <c r="N178" i="3"/>
  <c r="Q178" i="3" s="1"/>
  <c r="M178" i="3"/>
  <c r="C178" i="3"/>
  <c r="AF177" i="3"/>
  <c r="AI177" i="3" s="1"/>
  <c r="AE177" i="3"/>
  <c r="Y177" i="3"/>
  <c r="N177" i="3"/>
  <c r="Q177" i="3" s="1"/>
  <c r="M177" i="3"/>
  <c r="C177" i="3"/>
  <c r="AF176" i="3"/>
  <c r="AI176" i="3" s="1"/>
  <c r="AE176" i="3"/>
  <c r="Y176" i="3"/>
  <c r="N176" i="3"/>
  <c r="Q176" i="3" s="1"/>
  <c r="M176" i="3"/>
  <c r="C176" i="3"/>
  <c r="AF175" i="3"/>
  <c r="AI175" i="3" s="1"/>
  <c r="AE175" i="3"/>
  <c r="Y175" i="3"/>
  <c r="N175" i="3"/>
  <c r="Q175" i="3" s="1"/>
  <c r="M175" i="3"/>
  <c r="C175" i="3"/>
  <c r="AF95" i="3"/>
  <c r="AI95" i="3" s="1"/>
  <c r="AE95" i="3"/>
  <c r="Y95" i="3"/>
  <c r="N95" i="3"/>
  <c r="Q95" i="3" s="1"/>
  <c r="M95" i="3"/>
  <c r="C95" i="3"/>
  <c r="AF69" i="3"/>
  <c r="AI69" i="3" s="1"/>
  <c r="AE69" i="3"/>
  <c r="Y69" i="3"/>
  <c r="N69" i="3"/>
  <c r="Q69" i="3" s="1"/>
  <c r="M69" i="3"/>
  <c r="C69" i="3"/>
  <c r="AF68" i="3"/>
  <c r="AI68" i="3" s="1"/>
  <c r="AE68" i="3"/>
  <c r="Y68" i="3"/>
  <c r="N68" i="3"/>
  <c r="Q68" i="3" s="1"/>
  <c r="M68" i="3"/>
  <c r="C68" i="3"/>
  <c r="AF67" i="3"/>
  <c r="AI67" i="3" s="1"/>
  <c r="AE67" i="3"/>
  <c r="Y67" i="3"/>
  <c r="N67" i="3"/>
  <c r="Q67" i="3" s="1"/>
  <c r="M67" i="3"/>
  <c r="C67" i="3"/>
  <c r="AF66" i="3"/>
  <c r="AI66" i="3" s="1"/>
  <c r="AE66" i="3"/>
  <c r="Y66" i="3"/>
  <c r="N66" i="3"/>
  <c r="Q66" i="3" s="1"/>
  <c r="M66" i="3"/>
  <c r="C66" i="3"/>
  <c r="AF65" i="3"/>
  <c r="AI65" i="3" s="1"/>
  <c r="AE65" i="3"/>
  <c r="Y65" i="3"/>
  <c r="N65" i="3"/>
  <c r="Q65" i="3" s="1"/>
  <c r="M65" i="3"/>
  <c r="C65" i="3"/>
  <c r="AF64" i="3"/>
  <c r="AI64" i="3" s="1"/>
  <c r="AE64" i="3"/>
  <c r="Y64" i="3"/>
  <c r="N64" i="3"/>
  <c r="Q64" i="3" s="1"/>
  <c r="M64" i="3"/>
  <c r="C64" i="3"/>
  <c r="AF63" i="3"/>
  <c r="AI63" i="3" s="1"/>
  <c r="AE63" i="3"/>
  <c r="Y63" i="3"/>
  <c r="N63" i="3"/>
  <c r="Q63" i="3" s="1"/>
  <c r="M63" i="3"/>
  <c r="C63" i="3"/>
  <c r="AF62" i="3"/>
  <c r="AE62" i="3"/>
  <c r="Y62" i="3"/>
  <c r="N62" i="3"/>
  <c r="Q62" i="3" s="1"/>
  <c r="M62" i="3"/>
  <c r="C62" i="3"/>
  <c r="AF59" i="3"/>
  <c r="AI59" i="3" s="1"/>
  <c r="AE59" i="3"/>
  <c r="Y59" i="3"/>
  <c r="N59" i="3"/>
  <c r="Q59" i="3" s="1"/>
  <c r="M59" i="3"/>
  <c r="C59" i="3"/>
  <c r="AF57" i="3"/>
  <c r="AI57" i="3" s="1"/>
  <c r="AE57" i="3"/>
  <c r="Y57" i="3"/>
  <c r="N57" i="3"/>
  <c r="Q57" i="3" s="1"/>
  <c r="M57" i="3"/>
  <c r="C57" i="3"/>
  <c r="AF56" i="3"/>
  <c r="AI56" i="3" s="1"/>
  <c r="AE56" i="3"/>
  <c r="Y56" i="3"/>
  <c r="N56" i="3"/>
  <c r="Q56" i="3" s="1"/>
  <c r="M56" i="3"/>
  <c r="C56" i="3"/>
  <c r="AF52" i="3"/>
  <c r="AI52" i="3" s="1"/>
  <c r="AE52" i="3"/>
  <c r="Y52" i="3"/>
  <c r="N52" i="3"/>
  <c r="Q52" i="3" s="1"/>
  <c r="M52" i="3"/>
  <c r="C52" i="3"/>
  <c r="AF51" i="3"/>
  <c r="AI51" i="3" s="1"/>
  <c r="AE51" i="3"/>
  <c r="Y51" i="3"/>
  <c r="N51" i="3"/>
  <c r="Q51" i="3" s="1"/>
  <c r="M51" i="3"/>
  <c r="C51" i="3"/>
  <c r="AF50" i="3"/>
  <c r="AI50" i="3" s="1"/>
  <c r="AE50" i="3"/>
  <c r="Y50" i="3"/>
  <c r="N50" i="3"/>
  <c r="Q50" i="3" s="1"/>
  <c r="M50" i="3"/>
  <c r="C50" i="3"/>
  <c r="AF49" i="3"/>
  <c r="AI49" i="3" s="1"/>
  <c r="AE49" i="3"/>
  <c r="Y49" i="3"/>
  <c r="N49" i="3"/>
  <c r="Q49" i="3" s="1"/>
  <c r="M49" i="3"/>
  <c r="C49" i="3"/>
  <c r="AF48" i="3"/>
  <c r="AI48" i="3" s="1"/>
  <c r="AE48" i="3"/>
  <c r="Y48" i="3"/>
  <c r="N48" i="3"/>
  <c r="Q48" i="3" s="1"/>
  <c r="M48" i="3"/>
  <c r="C48" i="3"/>
  <c r="AF44" i="3"/>
  <c r="AI44" i="3" s="1"/>
  <c r="AE44" i="3"/>
  <c r="Y44" i="3"/>
  <c r="N44" i="3"/>
  <c r="Q44" i="3" s="1"/>
  <c r="M44" i="3"/>
  <c r="C44" i="3"/>
  <c r="AF43" i="3"/>
  <c r="AI43" i="3" s="1"/>
  <c r="AE43" i="3"/>
  <c r="Y43" i="3"/>
  <c r="N43" i="3"/>
  <c r="Q43" i="3" s="1"/>
  <c r="M43" i="3"/>
  <c r="C43" i="3"/>
  <c r="AF42" i="3"/>
  <c r="AI42" i="3" s="1"/>
  <c r="AE42" i="3"/>
  <c r="Y42" i="3"/>
  <c r="N42" i="3"/>
  <c r="Q42" i="3" s="1"/>
  <c r="M42" i="3"/>
  <c r="C42" i="3"/>
  <c r="AF41" i="3"/>
  <c r="AI41" i="3" s="1"/>
  <c r="AE41" i="3"/>
  <c r="Y41" i="3"/>
  <c r="N41" i="3"/>
  <c r="Q41" i="3" s="1"/>
  <c r="M41" i="3"/>
  <c r="C41" i="3"/>
  <c r="AF40" i="3"/>
  <c r="AI40" i="3" s="1"/>
  <c r="AE40" i="3"/>
  <c r="Y40" i="3"/>
  <c r="N40" i="3"/>
  <c r="Q40" i="3" s="1"/>
  <c r="M40" i="3"/>
  <c r="C40" i="3"/>
  <c r="AF39" i="3"/>
  <c r="AI39" i="3" s="1"/>
  <c r="AE39" i="3"/>
  <c r="Y39" i="3"/>
  <c r="N39" i="3"/>
  <c r="Q39" i="3" s="1"/>
  <c r="M39" i="3"/>
  <c r="C39" i="3"/>
  <c r="AF38" i="3"/>
  <c r="AI38" i="3" s="1"/>
  <c r="AE38" i="3"/>
  <c r="Y38" i="3"/>
  <c r="N38" i="3"/>
  <c r="Q38" i="3" s="1"/>
  <c r="M38" i="3"/>
  <c r="C38" i="3"/>
  <c r="AF37" i="3"/>
  <c r="AI37" i="3" s="1"/>
  <c r="AE37" i="3"/>
  <c r="Y37" i="3"/>
  <c r="N37" i="3"/>
  <c r="Q37" i="3" s="1"/>
  <c r="M37" i="3"/>
  <c r="C37" i="3"/>
  <c r="AF36" i="3"/>
  <c r="AI36" i="3" s="1"/>
  <c r="AE36" i="3"/>
  <c r="Y36" i="3"/>
  <c r="N36" i="3"/>
  <c r="Q36" i="3" s="1"/>
  <c r="M36" i="3"/>
  <c r="C36" i="3"/>
  <c r="AF35" i="3"/>
  <c r="AI35" i="3" s="1"/>
  <c r="AE35" i="3"/>
  <c r="Y35" i="3"/>
  <c r="N35" i="3"/>
  <c r="Q35" i="3" s="1"/>
  <c r="M35" i="3"/>
  <c r="C35" i="3"/>
  <c r="AF34" i="3"/>
  <c r="AI34" i="3" s="1"/>
  <c r="AE34" i="3"/>
  <c r="Y34" i="3"/>
  <c r="N34" i="3"/>
  <c r="Q34" i="3" s="1"/>
  <c r="M34" i="3"/>
  <c r="C34" i="3"/>
  <c r="AF33" i="3"/>
  <c r="AI33" i="3" s="1"/>
  <c r="AE33" i="3"/>
  <c r="Y33" i="3"/>
  <c r="N33" i="3"/>
  <c r="Q33" i="3" s="1"/>
  <c r="M33" i="3"/>
  <c r="C33" i="3"/>
  <c r="AF32" i="3"/>
  <c r="AI32" i="3" s="1"/>
  <c r="AE32" i="3"/>
  <c r="Y32" i="3"/>
  <c r="N32" i="3"/>
  <c r="Q32" i="3" s="1"/>
  <c r="M32" i="3"/>
  <c r="C32" i="3"/>
  <c r="AF31" i="3"/>
  <c r="AI31" i="3" s="1"/>
  <c r="AE31" i="3"/>
  <c r="Y31" i="3"/>
  <c r="N31" i="3"/>
  <c r="Q31" i="3" s="1"/>
  <c r="M31" i="3"/>
  <c r="C31" i="3"/>
  <c r="AF30" i="3"/>
  <c r="AI30" i="3" s="1"/>
  <c r="AE30" i="3"/>
  <c r="Y30" i="3"/>
  <c r="N30" i="3"/>
  <c r="Q30" i="3" s="1"/>
  <c r="M30" i="3"/>
  <c r="C30" i="3"/>
  <c r="AF29" i="3"/>
  <c r="AI29" i="3" s="1"/>
  <c r="AE29" i="3"/>
  <c r="Y29" i="3"/>
  <c r="N29" i="3"/>
  <c r="Q29" i="3" s="1"/>
  <c r="M29" i="3"/>
  <c r="C29" i="3"/>
  <c r="AF28" i="3"/>
  <c r="AI28" i="3" s="1"/>
  <c r="AE28" i="3"/>
  <c r="Y28" i="3"/>
  <c r="N28" i="3"/>
  <c r="Q28" i="3" s="1"/>
  <c r="M28" i="3"/>
  <c r="C28" i="3"/>
  <c r="AF26" i="3"/>
  <c r="AI26" i="3" s="1"/>
  <c r="AE26" i="3"/>
  <c r="Y26" i="3"/>
  <c r="N26" i="3"/>
  <c r="Q26" i="3" s="1"/>
  <c r="M26" i="3"/>
  <c r="C26" i="3"/>
  <c r="AF25" i="3"/>
  <c r="AI25" i="3" s="1"/>
  <c r="AE25" i="3"/>
  <c r="Y25" i="3"/>
  <c r="N25" i="3"/>
  <c r="Q25" i="3" s="1"/>
  <c r="M25" i="3"/>
  <c r="C25" i="3"/>
  <c r="AF24" i="3"/>
  <c r="AI24" i="3" s="1"/>
  <c r="AE24" i="3"/>
  <c r="Y24" i="3"/>
  <c r="N24" i="3"/>
  <c r="Q24" i="3" s="1"/>
  <c r="M24" i="3"/>
  <c r="C24" i="3"/>
  <c r="AF23" i="3"/>
  <c r="AI23" i="3" s="1"/>
  <c r="AE23" i="3"/>
  <c r="Y23" i="3"/>
  <c r="N23" i="3"/>
  <c r="Q23" i="3" s="1"/>
  <c r="M23" i="3"/>
  <c r="C23" i="3"/>
  <c r="AF22" i="3"/>
  <c r="AI22" i="3" s="1"/>
  <c r="AE22" i="3"/>
  <c r="Y22" i="3"/>
  <c r="N22" i="3"/>
  <c r="Q22" i="3" s="1"/>
  <c r="M22" i="3"/>
  <c r="C22" i="3"/>
  <c r="AF21" i="3"/>
  <c r="AI21" i="3" s="1"/>
  <c r="AE21" i="3"/>
  <c r="Y21" i="3"/>
  <c r="N21" i="3"/>
  <c r="Q21" i="3" s="1"/>
  <c r="M21" i="3"/>
  <c r="C21" i="3"/>
  <c r="AF20" i="3"/>
  <c r="AI20" i="3" s="1"/>
  <c r="AE20" i="3"/>
  <c r="Y20" i="3"/>
  <c r="N20" i="3"/>
  <c r="Q20" i="3" s="1"/>
  <c r="M20" i="3"/>
  <c r="C20" i="3"/>
  <c r="AF19" i="3"/>
  <c r="AI19" i="3" s="1"/>
  <c r="AE19" i="3"/>
  <c r="Y19" i="3"/>
  <c r="N19" i="3"/>
  <c r="Q19" i="3" s="1"/>
  <c r="M19" i="3"/>
  <c r="C19" i="3"/>
  <c r="AF18" i="3"/>
  <c r="AI18" i="3" s="1"/>
  <c r="AE18" i="3"/>
  <c r="Y18" i="3"/>
  <c r="N18" i="3"/>
  <c r="Q18" i="3" s="1"/>
  <c r="M18" i="3"/>
  <c r="C18" i="3"/>
  <c r="AF17" i="3"/>
  <c r="AI17" i="3" s="1"/>
  <c r="AE17" i="3"/>
  <c r="Y17" i="3"/>
  <c r="N17" i="3"/>
  <c r="Q17" i="3" s="1"/>
  <c r="M17" i="3"/>
  <c r="C17" i="3"/>
  <c r="AF16" i="3"/>
  <c r="AI16" i="3" s="1"/>
  <c r="AE16" i="3"/>
  <c r="Y16" i="3"/>
  <c r="N16" i="3"/>
  <c r="Q16" i="3" s="1"/>
  <c r="M16" i="3"/>
  <c r="C16" i="3"/>
  <c r="AF15" i="3"/>
  <c r="AI15" i="3" s="1"/>
  <c r="AE15" i="3"/>
  <c r="Y15" i="3"/>
  <c r="N15" i="3"/>
  <c r="Q15" i="3" s="1"/>
  <c r="M15" i="3"/>
  <c r="C15" i="3"/>
  <c r="AF14" i="3"/>
  <c r="AI14" i="3" s="1"/>
  <c r="AE14" i="3"/>
  <c r="Y14" i="3"/>
  <c r="N14" i="3"/>
  <c r="Q14" i="3" s="1"/>
  <c r="M14" i="3"/>
  <c r="C14" i="3"/>
  <c r="AF13" i="3"/>
  <c r="AI13" i="3" s="1"/>
  <c r="AE13" i="3"/>
  <c r="Y13" i="3"/>
  <c r="N13" i="3"/>
  <c r="Q13" i="3" s="1"/>
  <c r="M13" i="3"/>
  <c r="C13" i="3"/>
  <c r="AF12" i="3"/>
  <c r="AI12" i="3" s="1"/>
  <c r="AE12" i="3"/>
  <c r="Y12" i="3"/>
  <c r="N12" i="3"/>
  <c r="Q12" i="3" s="1"/>
  <c r="M12" i="3"/>
  <c r="C12" i="3"/>
  <c r="AF11" i="3"/>
  <c r="AI11" i="3" s="1"/>
  <c r="AE11" i="3"/>
  <c r="Y11" i="3"/>
  <c r="N11" i="3"/>
  <c r="Q11" i="3" s="1"/>
  <c r="M11" i="3"/>
  <c r="C11" i="3"/>
  <c r="AF10" i="3"/>
  <c r="AI10" i="3" s="1"/>
  <c r="AE10" i="3"/>
  <c r="Y10" i="3"/>
  <c r="N10" i="3"/>
  <c r="Q10" i="3" s="1"/>
  <c r="M10" i="3"/>
  <c r="C10" i="3"/>
  <c r="C31" i="2"/>
  <c r="E27" i="2"/>
  <c r="G25" i="2"/>
  <c r="C22" i="2"/>
  <c r="A11" i="2"/>
  <c r="F8" i="2"/>
  <c r="B8" i="2"/>
  <c r="P166" i="3" l="1"/>
  <c r="S166" i="3" s="1"/>
  <c r="S381" i="5"/>
  <c r="R133" i="3"/>
  <c r="R161" i="3"/>
  <c r="P169" i="3"/>
  <c r="S169" i="3" s="1"/>
  <c r="AJ153" i="3"/>
  <c r="AP153" i="3" s="1"/>
  <c r="P165" i="3"/>
  <c r="S165" i="3" s="1"/>
  <c r="P130" i="3"/>
  <c r="S130" i="3" s="1"/>
  <c r="P154" i="3"/>
  <c r="S154" i="3" s="1"/>
  <c r="R143" i="3"/>
  <c r="P134" i="3"/>
  <c r="S134" i="3" s="1"/>
  <c r="P138" i="3"/>
  <c r="S138" i="3" s="1"/>
  <c r="P149" i="3"/>
  <c r="S149" i="3" s="1"/>
  <c r="R151" i="3"/>
  <c r="P128" i="3"/>
  <c r="S128" i="3" s="1"/>
  <c r="R137" i="3"/>
  <c r="P135" i="3"/>
  <c r="S135" i="3" s="1"/>
  <c r="S353" i="5"/>
  <c r="P152" i="3"/>
  <c r="S152" i="3" s="1"/>
  <c r="R118" i="3"/>
  <c r="R132" i="3"/>
  <c r="R127" i="3"/>
  <c r="R126" i="3"/>
  <c r="P116" i="3"/>
  <c r="S116" i="3" s="1"/>
  <c r="R47" i="3"/>
  <c r="P142" i="3"/>
  <c r="S142" i="3" s="1"/>
  <c r="P140" i="3"/>
  <c r="S140" i="3" s="1"/>
  <c r="P117" i="3"/>
  <c r="S117" i="3" s="1"/>
  <c r="R150" i="3"/>
  <c r="P147" i="3"/>
  <c r="S147" i="3" s="1"/>
  <c r="P145" i="3"/>
  <c r="S145" i="3" s="1"/>
  <c r="P136" i="3"/>
  <c r="S136" i="3" s="1"/>
  <c r="P141" i="3"/>
  <c r="S141" i="3" s="1"/>
  <c r="R144" i="3"/>
  <c r="P60" i="3"/>
  <c r="S60" i="3" s="1"/>
  <c r="P131" i="3"/>
  <c r="S131" i="3" s="1"/>
  <c r="P125" i="3"/>
  <c r="S125" i="3" s="1"/>
  <c r="P139" i="3"/>
  <c r="S139" i="3" s="1"/>
  <c r="P58" i="3"/>
  <c r="S58" i="3" s="1"/>
  <c r="S212" i="5"/>
  <c r="S214" i="5"/>
  <c r="S222" i="5"/>
  <c r="S230" i="5"/>
  <c r="R146" i="3"/>
  <c r="R45" i="3"/>
  <c r="P100" i="3"/>
  <c r="S100" i="3" s="1"/>
  <c r="P46" i="3"/>
  <c r="S46" i="3" s="1"/>
  <c r="S30" i="5"/>
  <c r="S24" i="5"/>
  <c r="S183" i="5"/>
  <c r="P55" i="3"/>
  <c r="S55" i="3" s="1"/>
  <c r="P54" i="3"/>
  <c r="S54" i="3" s="1"/>
  <c r="P53" i="3"/>
  <c r="S53" i="3" s="1"/>
  <c r="R124" i="3"/>
  <c r="S363" i="5"/>
  <c r="S53" i="5"/>
  <c r="S74" i="5"/>
  <c r="S374" i="5"/>
  <c r="S382" i="5"/>
  <c r="S238" i="5"/>
  <c r="S246" i="5"/>
  <c r="S254" i="5"/>
  <c r="S14" i="5"/>
  <c r="S339" i="5"/>
  <c r="R122" i="3"/>
  <c r="P122" i="3"/>
  <c r="S122" i="3" s="1"/>
  <c r="R98" i="3"/>
  <c r="P174" i="3"/>
  <c r="S174" i="3" s="1"/>
  <c r="R97" i="3"/>
  <c r="R103" i="3"/>
  <c r="S191" i="5"/>
  <c r="S329" i="5"/>
  <c r="S331" i="5"/>
  <c r="S383" i="5"/>
  <c r="S365" i="5"/>
  <c r="S355" i="5"/>
  <c r="S281" i="5"/>
  <c r="S359" i="5"/>
  <c r="S364" i="5"/>
  <c r="S366" i="5"/>
  <c r="S368" i="5"/>
  <c r="R173" i="3"/>
  <c r="R113" i="3"/>
  <c r="AJ97" i="3"/>
  <c r="AP97" i="3" s="1"/>
  <c r="R123" i="3"/>
  <c r="R104" i="3"/>
  <c r="R99" i="3"/>
  <c r="R102" i="3"/>
  <c r="R109" i="3"/>
  <c r="R108" i="3"/>
  <c r="P110" i="3"/>
  <c r="S110" i="3" s="1"/>
  <c r="S160" i="5"/>
  <c r="S87" i="5"/>
  <c r="S182" i="5"/>
  <c r="S184" i="5"/>
  <c r="S167" i="5"/>
  <c r="S139" i="5"/>
  <c r="S107" i="5"/>
  <c r="S128" i="5"/>
  <c r="S135" i="5"/>
  <c r="S156" i="5"/>
  <c r="S373" i="5"/>
  <c r="S379" i="5"/>
  <c r="S111" i="5"/>
  <c r="S195" i="5"/>
  <c r="S197" i="5"/>
  <c r="S199" i="5"/>
  <c r="S207" i="5"/>
  <c r="P106" i="3"/>
  <c r="S106" i="3" s="1"/>
  <c r="R106" i="3"/>
  <c r="P105" i="3"/>
  <c r="S105" i="3" s="1"/>
  <c r="R105" i="3"/>
  <c r="R111" i="3"/>
  <c r="P111" i="3"/>
  <c r="S111" i="3" s="1"/>
  <c r="AG86" i="3"/>
  <c r="AH86" i="3" s="1"/>
  <c r="AJ86" i="3" s="1"/>
  <c r="AP86" i="3" s="1"/>
  <c r="AG90" i="3"/>
  <c r="AH90" i="3" s="1"/>
  <c r="AJ90" i="3" s="1"/>
  <c r="AP90" i="3" s="1"/>
  <c r="P107" i="3"/>
  <c r="S107" i="3" s="1"/>
  <c r="R107" i="3"/>
  <c r="P101" i="3"/>
  <c r="S101" i="3" s="1"/>
  <c r="R101" i="3"/>
  <c r="P115" i="3"/>
  <c r="S115" i="3" s="1"/>
  <c r="R115" i="3"/>
  <c r="P96" i="3"/>
  <c r="S96" i="3" s="1"/>
  <c r="R96" i="3"/>
  <c r="P112" i="3"/>
  <c r="S112" i="3" s="1"/>
  <c r="R112" i="3"/>
  <c r="R114" i="3"/>
  <c r="P114" i="3"/>
  <c r="S114" i="3" s="1"/>
  <c r="O94" i="3"/>
  <c r="P94" i="3" s="1"/>
  <c r="S94" i="3" s="1"/>
  <c r="S286" i="5"/>
  <c r="S303" i="5"/>
  <c r="S313" i="5"/>
  <c r="S21" i="5"/>
  <c r="S20" i="5"/>
  <c r="S47" i="5"/>
  <c r="S223" i="5"/>
  <c r="S266" i="5"/>
  <c r="S271" i="5"/>
  <c r="S327" i="5"/>
  <c r="S361" i="5"/>
  <c r="S295" i="5"/>
  <c r="S336" i="5"/>
  <c r="S45" i="5"/>
  <c r="S15" i="5"/>
  <c r="S56" i="5"/>
  <c r="S58" i="5"/>
  <c r="S35" i="5"/>
  <c r="S312" i="5"/>
  <c r="S17" i="5"/>
  <c r="S270" i="5"/>
  <c r="O87" i="3"/>
  <c r="R87" i="3" s="1"/>
  <c r="S37" i="5"/>
  <c r="S225" i="5"/>
  <c r="S233" i="5"/>
  <c r="S237" i="5"/>
  <c r="S245" i="5"/>
  <c r="S249" i="5"/>
  <c r="S253" i="5"/>
  <c r="S257" i="5"/>
  <c r="S285" i="5"/>
  <c r="S217" i="5"/>
  <c r="S123" i="5"/>
  <c r="S151" i="5"/>
  <c r="S179" i="5"/>
  <c r="S261" i="5"/>
  <c r="S19" i="5"/>
  <c r="S88" i="5"/>
  <c r="S155" i="5"/>
  <c r="S202" i="5"/>
  <c r="S206" i="5"/>
  <c r="S343" i="5"/>
  <c r="S367" i="5"/>
  <c r="S22" i="5"/>
  <c r="S180" i="5"/>
  <c r="S258" i="5"/>
  <c r="S283" i="5"/>
  <c r="S62" i="5"/>
  <c r="S320" i="5"/>
  <c r="S33" i="5"/>
  <c r="S69" i="5"/>
  <c r="S215" i="5"/>
  <c r="S219" i="5"/>
  <c r="S231" i="5"/>
  <c r="S235" i="5"/>
  <c r="S239" i="5"/>
  <c r="S247" i="5"/>
  <c r="S262" i="5"/>
  <c r="S290" i="5"/>
  <c r="S310" i="5"/>
  <c r="S36" i="5"/>
  <c r="S59" i="5"/>
  <c r="S284" i="5"/>
  <c r="S300" i="5"/>
  <c r="S314" i="5"/>
  <c r="S31" i="5"/>
  <c r="S63" i="5"/>
  <c r="S236" i="5"/>
  <c r="S244" i="5"/>
  <c r="S252" i="5"/>
  <c r="S297" i="5"/>
  <c r="S304" i="5"/>
  <c r="S328" i="5"/>
  <c r="S34" i="5"/>
  <c r="S67" i="5"/>
  <c r="S349" i="5"/>
  <c r="S352" i="5"/>
  <c r="AG177" i="3"/>
  <c r="AH177" i="3" s="1"/>
  <c r="AJ177" i="3" s="1"/>
  <c r="AP177" i="3" s="1"/>
  <c r="O71" i="3"/>
  <c r="P71" i="3" s="1"/>
  <c r="S71" i="3" s="1"/>
  <c r="O85" i="3"/>
  <c r="R85" i="3" s="1"/>
  <c r="O83" i="3"/>
  <c r="R83" i="3" s="1"/>
  <c r="O91" i="3"/>
  <c r="P91" i="3" s="1"/>
  <c r="S91" i="3" s="1"/>
  <c r="AG61" i="3"/>
  <c r="AH61" i="3" s="1"/>
  <c r="AJ61" i="3" s="1"/>
  <c r="AP61" i="3" s="1"/>
  <c r="AG84" i="3"/>
  <c r="AH84" i="3" s="1"/>
  <c r="AJ84" i="3" s="1"/>
  <c r="AP84" i="3" s="1"/>
  <c r="AG88" i="3"/>
  <c r="AH88" i="3" s="1"/>
  <c r="AJ88" i="3" s="1"/>
  <c r="AP88" i="3" s="1"/>
  <c r="AG92" i="3"/>
  <c r="AH92" i="3" s="1"/>
  <c r="AJ92" i="3" s="1"/>
  <c r="AP92" i="3" s="1"/>
  <c r="O89" i="3"/>
  <c r="R89" i="3" s="1"/>
  <c r="AG94" i="3"/>
  <c r="AH94" i="3" s="1"/>
  <c r="AJ94" i="3" s="1"/>
  <c r="AP94" i="3" s="1"/>
  <c r="O84" i="3"/>
  <c r="R84" i="3" s="1"/>
  <c r="O88" i="3"/>
  <c r="R88" i="3" s="1"/>
  <c r="AG93" i="3"/>
  <c r="AH93" i="3" s="1"/>
  <c r="AJ93" i="3" s="1"/>
  <c r="AP93" i="3" s="1"/>
  <c r="AG81" i="3"/>
  <c r="AH81" i="3" s="1"/>
  <c r="AJ81" i="3" s="1"/>
  <c r="AP81" i="3" s="1"/>
  <c r="AG82" i="3"/>
  <c r="AH82" i="3" s="1"/>
  <c r="AJ82" i="3" s="1"/>
  <c r="AP82" i="3" s="1"/>
  <c r="O93" i="3"/>
  <c r="R93" i="3" s="1"/>
  <c r="O92" i="3"/>
  <c r="R92" i="3" s="1"/>
  <c r="AG83" i="3"/>
  <c r="AH83" i="3" s="1"/>
  <c r="AJ83" i="3" s="1"/>
  <c r="AP83" i="3" s="1"/>
  <c r="AG87" i="3"/>
  <c r="AH87" i="3" s="1"/>
  <c r="AJ87" i="3" s="1"/>
  <c r="AP87" i="3" s="1"/>
  <c r="AG91" i="3"/>
  <c r="AH91" i="3" s="1"/>
  <c r="AJ91" i="3" s="1"/>
  <c r="AP91" i="3" s="1"/>
  <c r="AG85" i="3"/>
  <c r="AH85" i="3" s="1"/>
  <c r="AJ85" i="3" s="1"/>
  <c r="AP85" i="3" s="1"/>
  <c r="AG89" i="3"/>
  <c r="AH89" i="3" s="1"/>
  <c r="AJ89" i="3" s="1"/>
  <c r="AP89" i="3" s="1"/>
  <c r="O90" i="3"/>
  <c r="R90" i="3" s="1"/>
  <c r="O86" i="3"/>
  <c r="R86" i="3" s="1"/>
  <c r="O82" i="3"/>
  <c r="P82" i="3" s="1"/>
  <c r="S82" i="3" s="1"/>
  <c r="O190" i="3"/>
  <c r="P190" i="3" s="1"/>
  <c r="S190" i="3" s="1"/>
  <c r="AG71" i="3"/>
  <c r="AH71" i="3" s="1"/>
  <c r="AJ71" i="3" s="1"/>
  <c r="AP71" i="3" s="1"/>
  <c r="AG70" i="3"/>
  <c r="AH70" i="3" s="1"/>
  <c r="AJ70" i="3" s="1"/>
  <c r="AP70" i="3" s="1"/>
  <c r="AG75" i="3"/>
  <c r="AH75" i="3" s="1"/>
  <c r="AJ75" i="3" s="1"/>
  <c r="AP75" i="3" s="1"/>
  <c r="AG79" i="3"/>
  <c r="AH79" i="3" s="1"/>
  <c r="AJ79" i="3" s="1"/>
  <c r="AP79" i="3" s="1"/>
  <c r="O78" i="3"/>
  <c r="P78" i="3" s="1"/>
  <c r="S78" i="3" s="1"/>
  <c r="O76" i="3"/>
  <c r="R76" i="3" s="1"/>
  <c r="O77" i="3"/>
  <c r="P77" i="3" s="1"/>
  <c r="S77" i="3" s="1"/>
  <c r="AG80" i="3"/>
  <c r="AH80" i="3" s="1"/>
  <c r="AJ80" i="3" s="1"/>
  <c r="AP80" i="3" s="1"/>
  <c r="AG76" i="3"/>
  <c r="AH76" i="3" s="1"/>
  <c r="AJ76" i="3" s="1"/>
  <c r="AP76" i="3" s="1"/>
  <c r="O79" i="3"/>
  <c r="R79" i="3" s="1"/>
  <c r="AG73" i="3"/>
  <c r="AH73" i="3" s="1"/>
  <c r="AJ73" i="3" s="1"/>
  <c r="AP73" i="3" s="1"/>
  <c r="O57" i="3"/>
  <c r="R57" i="3" s="1"/>
  <c r="AG72" i="3"/>
  <c r="AH72" i="3" s="1"/>
  <c r="AJ72" i="3" s="1"/>
  <c r="AP72" i="3" s="1"/>
  <c r="O61" i="3"/>
  <c r="R61" i="3" s="1"/>
  <c r="O182" i="3"/>
  <c r="R182" i="3" s="1"/>
  <c r="O74" i="3"/>
  <c r="P74" i="3" s="1"/>
  <c r="S74" i="3" s="1"/>
  <c r="O70" i="3"/>
  <c r="P70" i="3" s="1"/>
  <c r="S70" i="3" s="1"/>
  <c r="AG74" i="3"/>
  <c r="AH74" i="3" s="1"/>
  <c r="AJ74" i="3" s="1"/>
  <c r="AP74" i="3" s="1"/>
  <c r="AG78" i="3"/>
  <c r="AH78" i="3" s="1"/>
  <c r="AJ78" i="3" s="1"/>
  <c r="AP78" i="3" s="1"/>
  <c r="O81" i="3"/>
  <c r="AG19" i="3"/>
  <c r="AH19" i="3" s="1"/>
  <c r="AJ19" i="3" s="1"/>
  <c r="AP19" i="3" s="1"/>
  <c r="AG32" i="3"/>
  <c r="AH32" i="3" s="1"/>
  <c r="AJ32" i="3" s="1"/>
  <c r="AP32" i="3" s="1"/>
  <c r="AG36" i="3"/>
  <c r="AH36" i="3" s="1"/>
  <c r="AJ36" i="3" s="1"/>
  <c r="AP36" i="3" s="1"/>
  <c r="AG51" i="3"/>
  <c r="AH51" i="3" s="1"/>
  <c r="AJ51" i="3" s="1"/>
  <c r="AP51" i="3" s="1"/>
  <c r="AG65" i="3"/>
  <c r="AH65" i="3" s="1"/>
  <c r="AJ65" i="3" s="1"/>
  <c r="AP65" i="3" s="1"/>
  <c r="O179" i="3"/>
  <c r="R179" i="3" s="1"/>
  <c r="AG77" i="3"/>
  <c r="AH77" i="3" s="1"/>
  <c r="AJ77" i="3" s="1"/>
  <c r="AP77" i="3" s="1"/>
  <c r="O80" i="3"/>
  <c r="O29" i="3"/>
  <c r="P29" i="3" s="1"/>
  <c r="S29" i="3" s="1"/>
  <c r="O33" i="3"/>
  <c r="P33" i="3" s="1"/>
  <c r="S33" i="3" s="1"/>
  <c r="O48" i="3"/>
  <c r="P48" i="3" s="1"/>
  <c r="S48" i="3" s="1"/>
  <c r="O185" i="3"/>
  <c r="R185" i="3" s="1"/>
  <c r="O189" i="3"/>
  <c r="R189" i="3" s="1"/>
  <c r="O65" i="3"/>
  <c r="P65" i="3" s="1"/>
  <c r="S65" i="3" s="1"/>
  <c r="O69" i="3"/>
  <c r="R69" i="3" s="1"/>
  <c r="AG190" i="3"/>
  <c r="AH190" i="3" s="1"/>
  <c r="AJ190" i="3" s="1"/>
  <c r="AP190" i="3" s="1"/>
  <c r="O75" i="3"/>
  <c r="R75" i="3" s="1"/>
  <c r="Q179" i="3"/>
  <c r="O73" i="3"/>
  <c r="O72" i="3"/>
  <c r="P72" i="3" s="1"/>
  <c r="S72" i="3" s="1"/>
  <c r="AG16" i="3"/>
  <c r="AH16" i="3" s="1"/>
  <c r="AJ16" i="3" s="1"/>
  <c r="AP16" i="3" s="1"/>
  <c r="AG24" i="3"/>
  <c r="AH24" i="3" s="1"/>
  <c r="AJ24" i="3" s="1"/>
  <c r="AP24" i="3" s="1"/>
  <c r="AG52" i="3"/>
  <c r="AH52" i="3" s="1"/>
  <c r="AJ52" i="3" s="1"/>
  <c r="AP52" i="3" s="1"/>
  <c r="O181" i="3"/>
  <c r="R181" i="3" s="1"/>
  <c r="O26" i="3"/>
  <c r="R26" i="3" s="1"/>
  <c r="O31" i="3"/>
  <c r="P31" i="3" s="1"/>
  <c r="S31" i="3" s="1"/>
  <c r="O35" i="3"/>
  <c r="R35" i="3" s="1"/>
  <c r="O39" i="3"/>
  <c r="R39" i="3" s="1"/>
  <c r="O50" i="3"/>
  <c r="R50" i="3" s="1"/>
  <c r="O14" i="3"/>
  <c r="R14" i="3" s="1"/>
  <c r="O30" i="3"/>
  <c r="R30" i="3" s="1"/>
  <c r="O34" i="3"/>
  <c r="P34" i="3" s="1"/>
  <c r="S34" i="3" s="1"/>
  <c r="O63" i="3"/>
  <c r="R63" i="3" s="1"/>
  <c r="O67" i="3"/>
  <c r="P67" i="3" s="1"/>
  <c r="S67" i="3" s="1"/>
  <c r="AG69" i="3"/>
  <c r="AH69" i="3" s="1"/>
  <c r="AJ69" i="3" s="1"/>
  <c r="AP69" i="3" s="1"/>
  <c r="O184" i="3"/>
  <c r="R184" i="3" s="1"/>
  <c r="O27" i="3"/>
  <c r="P27" i="3" s="1"/>
  <c r="S27" i="3" s="1"/>
  <c r="AG21" i="3"/>
  <c r="AH21" i="3" s="1"/>
  <c r="AJ21" i="3" s="1"/>
  <c r="AP21" i="3" s="1"/>
  <c r="AG189" i="3"/>
  <c r="AH189" i="3" s="1"/>
  <c r="AJ189" i="3" s="1"/>
  <c r="AP189" i="3" s="1"/>
  <c r="AG27" i="3"/>
  <c r="AH27" i="3" s="1"/>
  <c r="AJ27" i="3" s="1"/>
  <c r="AP27" i="3" s="1"/>
  <c r="S18" i="5"/>
  <c r="S23" i="5"/>
  <c r="S27" i="5"/>
  <c r="S39" i="5"/>
  <c r="S44" i="5"/>
  <c r="S51" i="5"/>
  <c r="S61" i="5"/>
  <c r="S68" i="5"/>
  <c r="S71" i="5"/>
  <c r="S85" i="5"/>
  <c r="S181" i="5"/>
  <c r="S190" i="5"/>
  <c r="S192" i="5"/>
  <c r="S196" i="5"/>
  <c r="S200" i="5"/>
  <c r="S299" i="5"/>
  <c r="S344" i="5"/>
  <c r="S357" i="5"/>
  <c r="S362" i="5"/>
  <c r="S377" i="5"/>
  <c r="S13" i="5"/>
  <c r="S26" i="5"/>
  <c r="S41" i="5"/>
  <c r="S43" i="5"/>
  <c r="S77" i="5"/>
  <c r="S99" i="5"/>
  <c r="S104" i="5"/>
  <c r="S120" i="5"/>
  <c r="S127" i="5"/>
  <c r="S132" i="5"/>
  <c r="S148" i="5"/>
  <c r="S178" i="5"/>
  <c r="S216" i="5"/>
  <c r="S220" i="5"/>
  <c r="S259" i="5"/>
  <c r="S275" i="5"/>
  <c r="S278" i="5"/>
  <c r="S280" i="5"/>
  <c r="S296" i="5"/>
  <c r="S311" i="5"/>
  <c r="S321" i="5"/>
  <c r="S323" i="5"/>
  <c r="S348" i="5"/>
  <c r="S12" i="5"/>
  <c r="S16" i="5"/>
  <c r="S25" i="5"/>
  <c r="S29" i="5"/>
  <c r="S48" i="5"/>
  <c r="S60" i="5"/>
  <c r="S72" i="5"/>
  <c r="S79" i="5"/>
  <c r="S84" i="5"/>
  <c r="S86" i="5"/>
  <c r="S108" i="5"/>
  <c r="S131" i="5"/>
  <c r="S136" i="5"/>
  <c r="S152" i="5"/>
  <c r="S159" i="5"/>
  <c r="S189" i="5"/>
  <c r="S201" i="5"/>
  <c r="S224" i="5"/>
  <c r="S228" i="5"/>
  <c r="S232" i="5"/>
  <c r="S277" i="5"/>
  <c r="S282" i="5"/>
  <c r="S330" i="5"/>
  <c r="S345" i="5"/>
  <c r="S347" i="5"/>
  <c r="S11" i="5"/>
  <c r="S28" i="5"/>
  <c r="S32" i="5"/>
  <c r="S40" i="5"/>
  <c r="S52" i="5"/>
  <c r="S76" i="5"/>
  <c r="S78" i="5"/>
  <c r="S83" i="5"/>
  <c r="S112" i="5"/>
  <c r="S140" i="5"/>
  <c r="S163" i="5"/>
  <c r="S209" i="5"/>
  <c r="S265" i="5"/>
  <c r="S267" i="5"/>
  <c r="S272" i="5"/>
  <c r="S274" i="5"/>
  <c r="S289" i="5"/>
  <c r="S292" i="5"/>
  <c r="S307" i="5"/>
  <c r="S322" i="5"/>
  <c r="S332" i="5"/>
  <c r="S360" i="5"/>
  <c r="S375" i="5"/>
  <c r="O37" i="3"/>
  <c r="R37" i="3" s="1"/>
  <c r="O17" i="3"/>
  <c r="R17" i="3" s="1"/>
  <c r="AG13" i="3"/>
  <c r="AH13" i="3" s="1"/>
  <c r="AJ13" i="3" s="1"/>
  <c r="AP13" i="3" s="1"/>
  <c r="O177" i="3"/>
  <c r="R177" i="3" s="1"/>
  <c r="O178" i="3"/>
  <c r="P178" i="3" s="1"/>
  <c r="S178" i="3" s="1"/>
  <c r="O66" i="3"/>
  <c r="R66" i="3" s="1"/>
  <c r="AG40" i="3"/>
  <c r="AH40" i="3" s="1"/>
  <c r="AJ40" i="3" s="1"/>
  <c r="AP40" i="3" s="1"/>
  <c r="O43" i="3"/>
  <c r="R43" i="3" s="1"/>
  <c r="AG25" i="3"/>
  <c r="AH25" i="3" s="1"/>
  <c r="AJ25" i="3" s="1"/>
  <c r="AP25" i="3" s="1"/>
  <c r="AG187" i="3"/>
  <c r="AH187" i="3" s="1"/>
  <c r="AJ187" i="3" s="1"/>
  <c r="AP187" i="3" s="1"/>
  <c r="O10" i="3"/>
  <c r="P10" i="3" s="1"/>
  <c r="S10" i="3" s="1"/>
  <c r="O22" i="3"/>
  <c r="P22" i="3" s="1"/>
  <c r="S22" i="3" s="1"/>
  <c r="AG29" i="3"/>
  <c r="AH29" i="3" s="1"/>
  <c r="AJ29" i="3" s="1"/>
  <c r="AP29" i="3" s="1"/>
  <c r="AG33" i="3"/>
  <c r="AH33" i="3" s="1"/>
  <c r="AJ33" i="3" s="1"/>
  <c r="AP33" i="3" s="1"/>
  <c r="O41" i="3"/>
  <c r="R41" i="3" s="1"/>
  <c r="O175" i="3"/>
  <c r="P175" i="3" s="1"/>
  <c r="S175" i="3" s="1"/>
  <c r="O183" i="3"/>
  <c r="R183" i="3" s="1"/>
  <c r="O191" i="3"/>
  <c r="R191" i="3" s="1"/>
  <c r="AG175" i="3"/>
  <c r="AH175" i="3" s="1"/>
  <c r="AJ175" i="3" s="1"/>
  <c r="AP175" i="3" s="1"/>
  <c r="AG183" i="3"/>
  <c r="AH183" i="3" s="1"/>
  <c r="AJ183" i="3" s="1"/>
  <c r="AP183" i="3" s="1"/>
  <c r="AG14" i="3"/>
  <c r="AH14" i="3" s="1"/>
  <c r="AJ14" i="3" s="1"/>
  <c r="AP14" i="3" s="1"/>
  <c r="O16" i="3"/>
  <c r="R16" i="3" s="1"/>
  <c r="O24" i="3"/>
  <c r="R24" i="3" s="1"/>
  <c r="O68" i="3"/>
  <c r="P68" i="3" s="1"/>
  <c r="S68" i="3" s="1"/>
  <c r="O186" i="3"/>
  <c r="R186" i="3" s="1"/>
  <c r="AG191" i="3"/>
  <c r="AH191" i="3" s="1"/>
  <c r="AJ191" i="3" s="1"/>
  <c r="AP191" i="3" s="1"/>
  <c r="S46" i="5"/>
  <c r="S54" i="5"/>
  <c r="S75" i="5"/>
  <c r="S89" i="5"/>
  <c r="S91" i="5"/>
  <c r="S96" i="5"/>
  <c r="S103" i="5"/>
  <c r="S119" i="5"/>
  <c r="S124" i="5"/>
  <c r="S147" i="5"/>
  <c r="S175" i="5"/>
  <c r="S187" i="5"/>
  <c r="S208" i="5"/>
  <c r="S221" i="5"/>
  <c r="S234" i="5"/>
  <c r="S251" i="5"/>
  <c r="S269" i="5"/>
  <c r="S279" i="5"/>
  <c r="S287" i="5"/>
  <c r="S315" i="5"/>
  <c r="S370" i="5"/>
  <c r="S378" i="5"/>
  <c r="S38" i="5"/>
  <c r="S193" i="5"/>
  <c r="S240" i="5"/>
  <c r="S301" i="5"/>
  <c r="S309" i="5"/>
  <c r="S317" i="5"/>
  <c r="S325" i="5"/>
  <c r="S333" i="5"/>
  <c r="S341" i="5"/>
  <c r="S350" i="5"/>
  <c r="S356" i="5"/>
  <c r="S64" i="5"/>
  <c r="S66" i="5"/>
  <c r="S80" i="5"/>
  <c r="S82" i="5"/>
  <c r="S95" i="5"/>
  <c r="S100" i="5"/>
  <c r="S116" i="5"/>
  <c r="S144" i="5"/>
  <c r="S203" i="5"/>
  <c r="S205" i="5"/>
  <c r="S218" i="5"/>
  <c r="S229" i="5"/>
  <c r="S255" i="5"/>
  <c r="S260" i="5"/>
  <c r="S263" i="5"/>
  <c r="S273" i="5"/>
  <c r="S294" i="5"/>
  <c r="S306" i="5"/>
  <c r="S319" i="5"/>
  <c r="S335" i="5"/>
  <c r="S338" i="5"/>
  <c r="S346" i="5"/>
  <c r="S358" i="5"/>
  <c r="S369" i="5"/>
  <c r="S188" i="5"/>
  <c r="S248" i="5"/>
  <c r="S371" i="5"/>
  <c r="S55" i="5"/>
  <c r="S70" i="5"/>
  <c r="S92" i="5"/>
  <c r="S115" i="5"/>
  <c r="S143" i="5"/>
  <c r="S171" i="5"/>
  <c r="S194" i="5"/>
  <c r="S198" i="5"/>
  <c r="S204" i="5"/>
  <c r="S213" i="5"/>
  <c r="S226" i="5"/>
  <c r="S241" i="5"/>
  <c r="S293" i="5"/>
  <c r="S302" i="5"/>
  <c r="S305" i="5"/>
  <c r="S308" i="5"/>
  <c r="S316" i="5"/>
  <c r="S318" i="5"/>
  <c r="S324" i="5"/>
  <c r="S334" i="5"/>
  <c r="S337" i="5"/>
  <c r="S340" i="5"/>
  <c r="S351" i="5"/>
  <c r="S354" i="5"/>
  <c r="O20" i="3"/>
  <c r="R20" i="3" s="1"/>
  <c r="AG20" i="3"/>
  <c r="AH20" i="3" s="1"/>
  <c r="AJ20" i="3" s="1"/>
  <c r="AP20" i="3" s="1"/>
  <c r="AG44" i="3"/>
  <c r="AH44" i="3" s="1"/>
  <c r="AJ44" i="3" s="1"/>
  <c r="AP44" i="3" s="1"/>
  <c r="AG48" i="3"/>
  <c r="AH48" i="3" s="1"/>
  <c r="AJ48" i="3" s="1"/>
  <c r="AP48" i="3" s="1"/>
  <c r="O52" i="3"/>
  <c r="R52" i="3" s="1"/>
  <c r="AG59" i="3"/>
  <c r="AH59" i="3" s="1"/>
  <c r="AJ59" i="3" s="1"/>
  <c r="AP59" i="3" s="1"/>
  <c r="O176" i="3"/>
  <c r="P176" i="3" s="1"/>
  <c r="S176" i="3" s="1"/>
  <c r="O180" i="3"/>
  <c r="R180" i="3" s="1"/>
  <c r="AG30" i="3"/>
  <c r="AH30" i="3" s="1"/>
  <c r="AJ30" i="3" s="1"/>
  <c r="AP30" i="3" s="1"/>
  <c r="AG37" i="3"/>
  <c r="AH37" i="3" s="1"/>
  <c r="AJ37" i="3" s="1"/>
  <c r="AP37" i="3" s="1"/>
  <c r="AG66" i="3"/>
  <c r="AH66" i="3" s="1"/>
  <c r="AJ66" i="3" s="1"/>
  <c r="AP66" i="3" s="1"/>
  <c r="AG67" i="3"/>
  <c r="AH67" i="3" s="1"/>
  <c r="AJ67" i="3" s="1"/>
  <c r="AP67" i="3" s="1"/>
  <c r="AG68" i="3"/>
  <c r="AH68" i="3" s="1"/>
  <c r="AJ68" i="3" s="1"/>
  <c r="AP68" i="3" s="1"/>
  <c r="AG179" i="3"/>
  <c r="AH179" i="3" s="1"/>
  <c r="AJ179" i="3" s="1"/>
  <c r="AP179" i="3" s="1"/>
  <c r="AG12" i="3"/>
  <c r="AH12" i="3" s="1"/>
  <c r="AJ12" i="3" s="1"/>
  <c r="AP12" i="3" s="1"/>
  <c r="AG17" i="3"/>
  <c r="AH17" i="3" s="1"/>
  <c r="AJ17" i="3" s="1"/>
  <c r="AP17" i="3" s="1"/>
  <c r="AG34" i="3"/>
  <c r="AH34" i="3" s="1"/>
  <c r="AJ34" i="3" s="1"/>
  <c r="AP34" i="3" s="1"/>
  <c r="AG41" i="3"/>
  <c r="AH41" i="3" s="1"/>
  <c r="AJ41" i="3" s="1"/>
  <c r="AP41" i="3" s="1"/>
  <c r="O62" i="3"/>
  <c r="AG95" i="3"/>
  <c r="AH95" i="3" s="1"/>
  <c r="AJ95" i="3" s="1"/>
  <c r="AP95" i="3" s="1"/>
  <c r="O187" i="3"/>
  <c r="R187" i="3" s="1"/>
  <c r="O25" i="3"/>
  <c r="R25" i="3" s="1"/>
  <c r="AG28" i="3"/>
  <c r="AH28" i="3" s="1"/>
  <c r="AJ28" i="3" s="1"/>
  <c r="AP28" i="3" s="1"/>
  <c r="O188" i="3"/>
  <c r="R188" i="3" s="1"/>
  <c r="O13" i="3"/>
  <c r="P13" i="3" s="1"/>
  <c r="S13" i="3" s="1"/>
  <c r="AG15" i="3"/>
  <c r="AH15" i="3" s="1"/>
  <c r="AJ15" i="3" s="1"/>
  <c r="AP15" i="3" s="1"/>
  <c r="O64" i="3"/>
  <c r="R64" i="3" s="1"/>
  <c r="AG62" i="3"/>
  <c r="AH62" i="3" s="1"/>
  <c r="O11" i="3"/>
  <c r="R11" i="3" s="1"/>
  <c r="AG23" i="3"/>
  <c r="AH23" i="3" s="1"/>
  <c r="AJ23" i="3" s="1"/>
  <c r="AP23" i="3" s="1"/>
  <c r="AI62" i="3"/>
  <c r="AG63" i="3"/>
  <c r="AH63" i="3" s="1"/>
  <c r="AJ63" i="3" s="1"/>
  <c r="AP63" i="3" s="1"/>
  <c r="O95" i="3"/>
  <c r="R95" i="3" s="1"/>
  <c r="O21" i="3"/>
  <c r="R21" i="3" s="1"/>
  <c r="O18" i="3"/>
  <c r="R18" i="3" s="1"/>
  <c r="I8" i="10"/>
  <c r="H8" i="10"/>
  <c r="G8" i="10"/>
  <c r="F8" i="10"/>
  <c r="E8" i="10"/>
  <c r="D8" i="10"/>
  <c r="I16" i="10"/>
  <c r="H16" i="10"/>
  <c r="G16" i="10"/>
  <c r="F16" i="10"/>
  <c r="E16" i="10"/>
  <c r="D16" i="10"/>
  <c r="AG10" i="3"/>
  <c r="AH10" i="3" s="1"/>
  <c r="AJ10" i="3" s="1"/>
  <c r="AP10" i="3" s="1"/>
  <c r="O12" i="3"/>
  <c r="O15" i="3"/>
  <c r="O19" i="3"/>
  <c r="O23" i="3"/>
  <c r="O28" i="3"/>
  <c r="O32" i="3"/>
  <c r="O36" i="3"/>
  <c r="O40" i="3"/>
  <c r="O44" i="3"/>
  <c r="O51" i="3"/>
  <c r="O59" i="3"/>
  <c r="AI180" i="3"/>
  <c r="AG180" i="3"/>
  <c r="AH180" i="3" s="1"/>
  <c r="AG181" i="3"/>
  <c r="AH181" i="3" s="1"/>
  <c r="AJ181" i="3" s="1"/>
  <c r="AP181" i="3" s="1"/>
  <c r="AG38" i="3"/>
  <c r="AH38" i="3" s="1"/>
  <c r="AJ38" i="3" s="1"/>
  <c r="AP38" i="3" s="1"/>
  <c r="AG42" i="3"/>
  <c r="AH42" i="3" s="1"/>
  <c r="AJ42" i="3" s="1"/>
  <c r="AP42" i="3" s="1"/>
  <c r="AG49" i="3"/>
  <c r="AH49" i="3" s="1"/>
  <c r="AJ49" i="3" s="1"/>
  <c r="AP49" i="3" s="1"/>
  <c r="AG56" i="3"/>
  <c r="AH56" i="3" s="1"/>
  <c r="AJ56" i="3" s="1"/>
  <c r="AP56" i="3" s="1"/>
  <c r="AG64" i="3"/>
  <c r="AH64" i="3" s="1"/>
  <c r="AJ64" i="3" s="1"/>
  <c r="AP64" i="3" s="1"/>
  <c r="AI182" i="3"/>
  <c r="AG182" i="3"/>
  <c r="AH182" i="3" s="1"/>
  <c r="AI188" i="3"/>
  <c r="AG188" i="3"/>
  <c r="AH188" i="3" s="1"/>
  <c r="I19" i="10"/>
  <c r="H19" i="10"/>
  <c r="G19" i="10"/>
  <c r="F19" i="10"/>
  <c r="E19" i="10"/>
  <c r="D19" i="10"/>
  <c r="AG11" i="3"/>
  <c r="AH11" i="3" s="1"/>
  <c r="AJ11" i="3" s="1"/>
  <c r="AP11" i="3" s="1"/>
  <c r="AG18" i="3"/>
  <c r="AH18" i="3" s="1"/>
  <c r="AJ18" i="3" s="1"/>
  <c r="AP18" i="3" s="1"/>
  <c r="AG22" i="3"/>
  <c r="AH22" i="3" s="1"/>
  <c r="AJ22" i="3" s="1"/>
  <c r="AP22" i="3" s="1"/>
  <c r="AG26" i="3"/>
  <c r="AH26" i="3" s="1"/>
  <c r="AJ26" i="3" s="1"/>
  <c r="AP26" i="3" s="1"/>
  <c r="AG31" i="3"/>
  <c r="AH31" i="3" s="1"/>
  <c r="AJ31" i="3" s="1"/>
  <c r="AP31" i="3" s="1"/>
  <c r="AG35" i="3"/>
  <c r="AH35" i="3" s="1"/>
  <c r="AJ35" i="3" s="1"/>
  <c r="AP35" i="3" s="1"/>
  <c r="AG39" i="3"/>
  <c r="AH39" i="3" s="1"/>
  <c r="AJ39" i="3" s="1"/>
  <c r="AP39" i="3" s="1"/>
  <c r="AG43" i="3"/>
  <c r="AH43" i="3" s="1"/>
  <c r="AJ43" i="3" s="1"/>
  <c r="AP43" i="3" s="1"/>
  <c r="AG50" i="3"/>
  <c r="AH50" i="3" s="1"/>
  <c r="AJ50" i="3" s="1"/>
  <c r="AP50" i="3" s="1"/>
  <c r="AG57" i="3"/>
  <c r="AH57" i="3" s="1"/>
  <c r="AJ57" i="3" s="1"/>
  <c r="AP57" i="3" s="1"/>
  <c r="AI186" i="3"/>
  <c r="AG186" i="3"/>
  <c r="AH186" i="3" s="1"/>
  <c r="O38" i="3"/>
  <c r="O42" i="3"/>
  <c r="O49" i="3"/>
  <c r="O56" i="3"/>
  <c r="AI184" i="3"/>
  <c r="AG184" i="3"/>
  <c r="AH184" i="3" s="1"/>
  <c r="I11" i="10"/>
  <c r="H11" i="10"/>
  <c r="G11" i="10"/>
  <c r="F11" i="10"/>
  <c r="E11" i="10"/>
  <c r="D11" i="10"/>
  <c r="AG176" i="3"/>
  <c r="AH176" i="3" s="1"/>
  <c r="AJ176" i="3" s="1"/>
  <c r="AP176" i="3" s="1"/>
  <c r="AG178" i="3"/>
  <c r="AH178" i="3" s="1"/>
  <c r="AJ178" i="3" s="1"/>
  <c r="AP178" i="3" s="1"/>
  <c r="I384" i="4"/>
  <c r="C4" i="4" s="1"/>
  <c r="AG185" i="3"/>
  <c r="AH185" i="3" s="1"/>
  <c r="AJ185" i="3" s="1"/>
  <c r="AP185" i="3" s="1"/>
  <c r="K11" i="6"/>
  <c r="K404" i="6" s="1"/>
  <c r="J404" i="6"/>
  <c r="D3" i="6" s="1"/>
  <c r="S49" i="5"/>
  <c r="S42" i="5"/>
  <c r="S73" i="5"/>
  <c r="P193" i="5"/>
  <c r="Q193" i="5" s="1"/>
  <c r="S57" i="5"/>
  <c r="S90" i="5"/>
  <c r="S250" i="5"/>
  <c r="P44" i="5"/>
  <c r="Q44" i="5" s="1"/>
  <c r="S50" i="5"/>
  <c r="S81" i="5"/>
  <c r="S65" i="5"/>
  <c r="S185" i="5"/>
  <c r="P42" i="5"/>
  <c r="Q42" i="5" s="1"/>
  <c r="P50" i="5"/>
  <c r="Q50" i="5" s="1"/>
  <c r="P58" i="5"/>
  <c r="Q58" i="5" s="1"/>
  <c r="P66" i="5"/>
  <c r="Q66" i="5" s="1"/>
  <c r="P74" i="5"/>
  <c r="Q74" i="5" s="1"/>
  <c r="P82" i="5"/>
  <c r="Q82" i="5" s="1"/>
  <c r="P90" i="5"/>
  <c r="Q90" i="5" s="1"/>
  <c r="S94" i="5"/>
  <c r="S98" i="5"/>
  <c r="S102" i="5"/>
  <c r="S106" i="5"/>
  <c r="S110" i="5"/>
  <c r="S114" i="5"/>
  <c r="S118" i="5"/>
  <c r="S122" i="5"/>
  <c r="S126" i="5"/>
  <c r="S130" i="5"/>
  <c r="S134" i="5"/>
  <c r="S138" i="5"/>
  <c r="S142" i="5"/>
  <c r="S146" i="5"/>
  <c r="S150" i="5"/>
  <c r="S154" i="5"/>
  <c r="S158" i="5"/>
  <c r="S162" i="5"/>
  <c r="S166" i="5"/>
  <c r="S170" i="5"/>
  <c r="S174" i="5"/>
  <c r="S210" i="5"/>
  <c r="P217" i="5"/>
  <c r="Q217" i="5" s="1"/>
  <c r="S243" i="5"/>
  <c r="P271" i="5"/>
  <c r="Q271" i="5" s="1"/>
  <c r="S93" i="5"/>
  <c r="S97" i="5"/>
  <c r="S101" i="5"/>
  <c r="S105" i="5"/>
  <c r="S109" i="5"/>
  <c r="S113" i="5"/>
  <c r="S117" i="5"/>
  <c r="S121" i="5"/>
  <c r="S125" i="5"/>
  <c r="S129" i="5"/>
  <c r="S133" i="5"/>
  <c r="S137" i="5"/>
  <c r="S141" i="5"/>
  <c r="S145" i="5"/>
  <c r="S149" i="5"/>
  <c r="S153" i="5"/>
  <c r="S157" i="5"/>
  <c r="S161" i="5"/>
  <c r="S165" i="5"/>
  <c r="S169" i="5"/>
  <c r="S173" i="5"/>
  <c r="S177" i="5"/>
  <c r="P201" i="5"/>
  <c r="Q201" i="5" s="1"/>
  <c r="S227" i="5"/>
  <c r="S256" i="5"/>
  <c r="R267" i="5"/>
  <c r="P267" i="5"/>
  <c r="Q267" i="5" s="1"/>
  <c r="R287" i="5"/>
  <c r="P287" i="5"/>
  <c r="Q287" i="5" s="1"/>
  <c r="P39" i="5"/>
  <c r="Q39" i="5" s="1"/>
  <c r="P47" i="5"/>
  <c r="Q47" i="5" s="1"/>
  <c r="P55" i="5"/>
  <c r="Q55" i="5" s="1"/>
  <c r="P63" i="5"/>
  <c r="Q63" i="5" s="1"/>
  <c r="P71" i="5"/>
  <c r="Q71" i="5" s="1"/>
  <c r="P79" i="5"/>
  <c r="Q79" i="5" s="1"/>
  <c r="P87" i="5"/>
  <c r="Q87" i="5" s="1"/>
  <c r="P93" i="5"/>
  <c r="Q93" i="5" s="1"/>
  <c r="P97" i="5"/>
  <c r="Q97" i="5" s="1"/>
  <c r="P101" i="5"/>
  <c r="Q101" i="5" s="1"/>
  <c r="P105" i="5"/>
  <c r="Q105" i="5" s="1"/>
  <c r="P109" i="5"/>
  <c r="Q109" i="5" s="1"/>
  <c r="P113" i="5"/>
  <c r="Q113" i="5" s="1"/>
  <c r="P117" i="5"/>
  <c r="Q117" i="5" s="1"/>
  <c r="P121" i="5"/>
  <c r="Q121" i="5" s="1"/>
  <c r="P125" i="5"/>
  <c r="Q125" i="5" s="1"/>
  <c r="P129" i="5"/>
  <c r="Q129" i="5" s="1"/>
  <c r="P133" i="5"/>
  <c r="Q133" i="5" s="1"/>
  <c r="P137" i="5"/>
  <c r="Q137" i="5" s="1"/>
  <c r="P141" i="5"/>
  <c r="Q141" i="5" s="1"/>
  <c r="P145" i="5"/>
  <c r="Q145" i="5" s="1"/>
  <c r="P149" i="5"/>
  <c r="Q149" i="5" s="1"/>
  <c r="P153" i="5"/>
  <c r="Q153" i="5" s="1"/>
  <c r="P157" i="5"/>
  <c r="Q157" i="5" s="1"/>
  <c r="S164" i="5"/>
  <c r="S168" i="5"/>
  <c r="S172" i="5"/>
  <c r="S176" i="5"/>
  <c r="P183" i="5"/>
  <c r="Q183" i="5" s="1"/>
  <c r="S186" i="5"/>
  <c r="S211" i="5"/>
  <c r="S242" i="5"/>
  <c r="R256" i="5"/>
  <c r="P256" i="5"/>
  <c r="Q256" i="5" s="1"/>
  <c r="P45" i="5"/>
  <c r="Q45" i="5" s="1"/>
  <c r="P53" i="5"/>
  <c r="Q53" i="5" s="1"/>
  <c r="P61" i="5"/>
  <c r="Q61" i="5" s="1"/>
  <c r="P69" i="5"/>
  <c r="Q69" i="5" s="1"/>
  <c r="P77" i="5"/>
  <c r="Q77" i="5" s="1"/>
  <c r="P85" i="5"/>
  <c r="Q85" i="5" s="1"/>
  <c r="P92" i="5"/>
  <c r="Q92" i="5" s="1"/>
  <c r="P96" i="5"/>
  <c r="Q96" i="5" s="1"/>
  <c r="P100" i="5"/>
  <c r="Q100" i="5" s="1"/>
  <c r="P104" i="5"/>
  <c r="Q104" i="5" s="1"/>
  <c r="P108" i="5"/>
  <c r="Q108" i="5" s="1"/>
  <c r="P112" i="5"/>
  <c r="Q112" i="5" s="1"/>
  <c r="P116" i="5"/>
  <c r="Q116" i="5" s="1"/>
  <c r="P120" i="5"/>
  <c r="Q120" i="5" s="1"/>
  <c r="P124" i="5"/>
  <c r="Q124" i="5" s="1"/>
  <c r="P128" i="5"/>
  <c r="Q128" i="5" s="1"/>
  <c r="P132" i="5"/>
  <c r="Q132" i="5" s="1"/>
  <c r="P136" i="5"/>
  <c r="Q136" i="5" s="1"/>
  <c r="P140" i="5"/>
  <c r="Q140" i="5" s="1"/>
  <c r="P144" i="5"/>
  <c r="Q144" i="5" s="1"/>
  <c r="P148" i="5"/>
  <c r="Q148" i="5" s="1"/>
  <c r="P152" i="5"/>
  <c r="Q152" i="5" s="1"/>
  <c r="P156" i="5"/>
  <c r="Q156" i="5" s="1"/>
  <c r="P160" i="5"/>
  <c r="Q160" i="5" s="1"/>
  <c r="P164" i="5"/>
  <c r="Q164" i="5" s="1"/>
  <c r="P168" i="5"/>
  <c r="Q168" i="5" s="1"/>
  <c r="P172" i="5"/>
  <c r="Q172" i="5" s="1"/>
  <c r="P176" i="5"/>
  <c r="Q176" i="5" s="1"/>
  <c r="P209" i="5"/>
  <c r="Q209" i="5" s="1"/>
  <c r="P264" i="5"/>
  <c r="Q264" i="5" s="1"/>
  <c r="R283" i="5"/>
  <c r="P283" i="5"/>
  <c r="Q283" i="5" s="1"/>
  <c r="P187" i="5"/>
  <c r="Q187" i="5" s="1"/>
  <c r="P195" i="5"/>
  <c r="Q195" i="5" s="1"/>
  <c r="P203" i="5"/>
  <c r="Q203" i="5" s="1"/>
  <c r="P211" i="5"/>
  <c r="Q211" i="5" s="1"/>
  <c r="P219" i="5"/>
  <c r="Q219" i="5" s="1"/>
  <c r="P227" i="5"/>
  <c r="Q227" i="5" s="1"/>
  <c r="P235" i="5"/>
  <c r="Q235" i="5" s="1"/>
  <c r="P243" i="5"/>
  <c r="Q243" i="5" s="1"/>
  <c r="P251" i="5"/>
  <c r="Q251" i="5" s="1"/>
  <c r="P266" i="5"/>
  <c r="Q266" i="5" s="1"/>
  <c r="S276" i="5"/>
  <c r="P293" i="5"/>
  <c r="Q293" i="5" s="1"/>
  <c r="P197" i="5"/>
  <c r="Q197" i="5" s="1"/>
  <c r="P205" i="5"/>
  <c r="Q205" i="5" s="1"/>
  <c r="P213" i="5"/>
  <c r="Q213" i="5" s="1"/>
  <c r="P221" i="5"/>
  <c r="Q221" i="5" s="1"/>
  <c r="P229" i="5"/>
  <c r="Q229" i="5" s="1"/>
  <c r="P237" i="5"/>
  <c r="Q237" i="5" s="1"/>
  <c r="P245" i="5"/>
  <c r="Q245" i="5" s="1"/>
  <c r="P259" i="5"/>
  <c r="Q259" i="5" s="1"/>
  <c r="S268" i="5"/>
  <c r="S288" i="5"/>
  <c r="S291" i="5"/>
  <c r="S298" i="5"/>
  <c r="S264" i="5"/>
  <c r="P272" i="5"/>
  <c r="Q272" i="5" s="1"/>
  <c r="P181" i="5"/>
  <c r="Q181" i="5" s="1"/>
  <c r="P185" i="5"/>
  <c r="Q185" i="5" s="1"/>
  <c r="P188" i="5"/>
  <c r="Q188" i="5" s="1"/>
  <c r="P196" i="5"/>
  <c r="Q196" i="5" s="1"/>
  <c r="P204" i="5"/>
  <c r="Q204" i="5" s="1"/>
  <c r="P212" i="5"/>
  <c r="Q212" i="5" s="1"/>
  <c r="P220" i="5"/>
  <c r="Q220" i="5" s="1"/>
  <c r="P228" i="5"/>
  <c r="Q228" i="5" s="1"/>
  <c r="P236" i="5"/>
  <c r="Q236" i="5" s="1"/>
  <c r="P244" i="5"/>
  <c r="Q244" i="5" s="1"/>
  <c r="P252" i="5"/>
  <c r="Q252" i="5" s="1"/>
  <c r="P274" i="5"/>
  <c r="Q274" i="5" s="1"/>
  <c r="P301" i="5"/>
  <c r="Q301" i="5" s="1"/>
  <c r="S326" i="5"/>
  <c r="P304" i="5"/>
  <c r="Q304" i="5" s="1"/>
  <c r="P286" i="5"/>
  <c r="Q286" i="5" s="1"/>
  <c r="P296" i="5"/>
  <c r="Q296" i="5" s="1"/>
  <c r="P300" i="5"/>
  <c r="Q300" i="5" s="1"/>
  <c r="S342" i="5"/>
  <c r="P367" i="5"/>
  <c r="Q367" i="5" s="1"/>
  <c r="P328" i="5"/>
  <c r="Q328" i="5" s="1"/>
  <c r="P360" i="5"/>
  <c r="Q360" i="5" s="1"/>
  <c r="P379" i="5"/>
  <c r="Q379" i="5" s="1"/>
  <c r="P290" i="5"/>
  <c r="Q290" i="5" s="1"/>
  <c r="P298" i="5"/>
  <c r="Q298" i="5" s="1"/>
  <c r="P306" i="5"/>
  <c r="Q306" i="5" s="1"/>
  <c r="P314" i="5"/>
  <c r="Q314" i="5" s="1"/>
  <c r="P322" i="5"/>
  <c r="Q322" i="5" s="1"/>
  <c r="P330" i="5"/>
  <c r="Q330" i="5" s="1"/>
  <c r="P338" i="5"/>
  <c r="Q338" i="5" s="1"/>
  <c r="P346" i="5"/>
  <c r="Q346" i="5" s="1"/>
  <c r="P354" i="5"/>
  <c r="Q354" i="5" s="1"/>
  <c r="P362" i="5"/>
  <c r="Q362" i="5" s="1"/>
  <c r="S372" i="5"/>
  <c r="S376" i="5"/>
  <c r="H12" i="9"/>
  <c r="G13" i="9" s="1"/>
  <c r="P297" i="5"/>
  <c r="Q297" i="5" s="1"/>
  <c r="P305" i="5"/>
  <c r="Q305" i="5" s="1"/>
  <c r="P313" i="5"/>
  <c r="Q313" i="5" s="1"/>
  <c r="P321" i="5"/>
  <c r="Q321" i="5" s="1"/>
  <c r="P329" i="5"/>
  <c r="Q329" i="5" s="1"/>
  <c r="P337" i="5"/>
  <c r="Q337" i="5" s="1"/>
  <c r="P345" i="5"/>
  <c r="Q345" i="5" s="1"/>
  <c r="P353" i="5"/>
  <c r="Q353" i="5" s="1"/>
  <c r="P361" i="5"/>
  <c r="Q361" i="5" s="1"/>
  <c r="I12" i="10"/>
  <c r="H12" i="10"/>
  <c r="G12" i="10"/>
  <c r="F12" i="10"/>
  <c r="E12" i="10"/>
  <c r="D12" i="10"/>
  <c r="I20" i="10"/>
  <c r="H20" i="10"/>
  <c r="G20" i="10"/>
  <c r="F20" i="10"/>
  <c r="E20" i="10"/>
  <c r="D20" i="10"/>
  <c r="P294" i="5"/>
  <c r="Q294" i="5" s="1"/>
  <c r="P302" i="5"/>
  <c r="Q302" i="5" s="1"/>
  <c r="P310" i="5"/>
  <c r="Q310" i="5" s="1"/>
  <c r="P318" i="5"/>
  <c r="Q318" i="5" s="1"/>
  <c r="P326" i="5"/>
  <c r="Q326" i="5" s="1"/>
  <c r="P334" i="5"/>
  <c r="Q334" i="5" s="1"/>
  <c r="P342" i="5"/>
  <c r="Q342" i="5" s="1"/>
  <c r="P350" i="5"/>
  <c r="Q350" i="5" s="1"/>
  <c r="P358" i="5"/>
  <c r="Q358" i="5" s="1"/>
  <c r="P366" i="5"/>
  <c r="Q366" i="5" s="1"/>
  <c r="P375" i="5"/>
  <c r="Q375" i="5" s="1"/>
  <c r="P308" i="5"/>
  <c r="Q308" i="5" s="1"/>
  <c r="P316" i="5"/>
  <c r="Q316" i="5" s="1"/>
  <c r="P324" i="5"/>
  <c r="Q324" i="5" s="1"/>
  <c r="P332" i="5"/>
  <c r="Q332" i="5" s="1"/>
  <c r="P340" i="5"/>
  <c r="Q340" i="5" s="1"/>
  <c r="P348" i="5"/>
  <c r="Q348" i="5" s="1"/>
  <c r="P356" i="5"/>
  <c r="Q356" i="5" s="1"/>
  <c r="P364" i="5"/>
  <c r="Q364" i="5" s="1"/>
  <c r="S380" i="5"/>
  <c r="G109" i="7"/>
  <c r="I9" i="10"/>
  <c r="H9" i="10"/>
  <c r="G9" i="10"/>
  <c r="F9" i="10"/>
  <c r="E9" i="10"/>
  <c r="D9" i="10"/>
  <c r="I17" i="10"/>
  <c r="H17" i="10"/>
  <c r="G17" i="10"/>
  <c r="F17" i="10"/>
  <c r="E17" i="10"/>
  <c r="D17" i="10"/>
  <c r="I10" i="10"/>
  <c r="H10" i="10"/>
  <c r="G10" i="10"/>
  <c r="F10" i="10"/>
  <c r="E10" i="10"/>
  <c r="D10" i="10"/>
  <c r="I18" i="10"/>
  <c r="H18" i="10"/>
  <c r="G18" i="10"/>
  <c r="F18" i="10"/>
  <c r="E18" i="10"/>
  <c r="D18" i="10"/>
  <c r="I13" i="10"/>
  <c r="H13" i="10"/>
  <c r="G13" i="10"/>
  <c r="F13" i="10"/>
  <c r="E13" i="10"/>
  <c r="D13" i="10"/>
  <c r="I21" i="10"/>
  <c r="H21" i="10"/>
  <c r="G21" i="10"/>
  <c r="F21" i="10"/>
  <c r="E21" i="10"/>
  <c r="D21" i="10"/>
  <c r="C6" i="10"/>
  <c r="B24" i="10"/>
  <c r="I14" i="10"/>
  <c r="H14" i="10"/>
  <c r="G14" i="10"/>
  <c r="F14" i="10"/>
  <c r="E14" i="10"/>
  <c r="D14" i="10"/>
  <c r="I22" i="10"/>
  <c r="H22" i="10"/>
  <c r="G22" i="10"/>
  <c r="F22" i="10"/>
  <c r="E22" i="10"/>
  <c r="D22" i="10"/>
  <c r="I7" i="10"/>
  <c r="H7" i="10"/>
  <c r="G7" i="10"/>
  <c r="F7" i="10"/>
  <c r="E7" i="10"/>
  <c r="D7" i="10"/>
  <c r="I15" i="10"/>
  <c r="H15" i="10"/>
  <c r="G15" i="10"/>
  <c r="F15" i="10"/>
  <c r="E15" i="10"/>
  <c r="D15" i="10"/>
  <c r="I23" i="10"/>
  <c r="H23" i="10"/>
  <c r="G23" i="10"/>
  <c r="F23" i="10"/>
  <c r="E23" i="10"/>
  <c r="D23" i="10"/>
  <c r="F13" i="9"/>
  <c r="F14" i="9"/>
  <c r="F17" i="9" s="1"/>
  <c r="Q5" i="9"/>
  <c r="R94" i="3" l="1"/>
  <c r="P186" i="3"/>
  <c r="S186" i="3" s="1"/>
  <c r="P177" i="3"/>
  <c r="S177" i="3" s="1"/>
  <c r="P85" i="3"/>
  <c r="S85" i="3" s="1"/>
  <c r="P185" i="3"/>
  <c r="S185" i="3" s="1"/>
  <c r="R91" i="3"/>
  <c r="S385" i="5"/>
  <c r="D5" i="5" s="1"/>
  <c r="P87" i="3"/>
  <c r="S87" i="3" s="1"/>
  <c r="P66" i="3"/>
  <c r="S66" i="3" s="1"/>
  <c r="P26" i="3"/>
  <c r="S26" i="3" s="1"/>
  <c r="P43" i="3"/>
  <c r="S43" i="3" s="1"/>
  <c r="R29" i="3"/>
  <c r="R67" i="3"/>
  <c r="P83" i="3"/>
  <c r="S83" i="3" s="1"/>
  <c r="R71" i="3"/>
  <c r="R34" i="3"/>
  <c r="P52" i="3"/>
  <c r="S52" i="3" s="1"/>
  <c r="R31" i="3"/>
  <c r="P180" i="3"/>
  <c r="S180" i="3" s="1"/>
  <c r="R33" i="3"/>
  <c r="R82" i="3"/>
  <c r="R178" i="3"/>
  <c r="P88" i="3"/>
  <c r="S88" i="3" s="1"/>
  <c r="R27" i="3"/>
  <c r="R78" i="3"/>
  <c r="P84" i="3"/>
  <c r="S84" i="3" s="1"/>
  <c r="P57" i="3"/>
  <c r="S57" i="3" s="1"/>
  <c r="P61" i="3"/>
  <c r="S61" i="3" s="1"/>
  <c r="P79" i="3"/>
  <c r="S79" i="3" s="1"/>
  <c r="P89" i="3"/>
  <c r="S89" i="3" s="1"/>
  <c r="R74" i="3"/>
  <c r="R65" i="3"/>
  <c r="P189" i="3"/>
  <c r="S189" i="3" s="1"/>
  <c r="R13" i="3"/>
  <c r="P76" i="3"/>
  <c r="S76" i="3" s="1"/>
  <c r="P93" i="3"/>
  <c r="S93" i="3" s="1"/>
  <c r="P92" i="3"/>
  <c r="S92" i="3" s="1"/>
  <c r="R22" i="3"/>
  <c r="P179" i="3"/>
  <c r="S179" i="3" s="1"/>
  <c r="P17" i="3"/>
  <c r="S17" i="3" s="1"/>
  <c r="P182" i="3"/>
  <c r="S182" i="3" s="1"/>
  <c r="P37" i="3"/>
  <c r="S37" i="3" s="1"/>
  <c r="P14" i="3"/>
  <c r="S14" i="3" s="1"/>
  <c r="P30" i="3"/>
  <c r="S30" i="3" s="1"/>
  <c r="P39" i="3"/>
  <c r="S39" i="3" s="1"/>
  <c r="P181" i="3"/>
  <c r="S181" i="3" s="1"/>
  <c r="R190" i="3"/>
  <c r="P191" i="3"/>
  <c r="S191" i="3" s="1"/>
  <c r="R10" i="3"/>
  <c r="P90" i="3"/>
  <c r="S90" i="3" s="1"/>
  <c r="P86" i="3"/>
  <c r="S86" i="3" s="1"/>
  <c r="P63" i="3"/>
  <c r="S63" i="3" s="1"/>
  <c r="P24" i="3"/>
  <c r="S24" i="3" s="1"/>
  <c r="R77" i="3"/>
  <c r="P183" i="3"/>
  <c r="S183" i="3" s="1"/>
  <c r="P20" i="3"/>
  <c r="S20" i="3" s="1"/>
  <c r="R70" i="3"/>
  <c r="P69" i="3"/>
  <c r="S69" i="3" s="1"/>
  <c r="P64" i="3"/>
  <c r="S64" i="3" s="1"/>
  <c r="R72" i="3"/>
  <c r="R68" i="3"/>
  <c r="P50" i="3"/>
  <c r="S50" i="3" s="1"/>
  <c r="R48" i="3"/>
  <c r="P11" i="3"/>
  <c r="S11" i="3" s="1"/>
  <c r="R176" i="3"/>
  <c r="P188" i="3"/>
  <c r="S188" i="3" s="1"/>
  <c r="P75" i="3"/>
  <c r="S75" i="3" s="1"/>
  <c r="R80" i="3"/>
  <c r="P80" i="3"/>
  <c r="S80" i="3" s="1"/>
  <c r="P187" i="3"/>
  <c r="S187" i="3" s="1"/>
  <c r="P16" i="3"/>
  <c r="S16" i="3" s="1"/>
  <c r="R81" i="3"/>
  <c r="P81" i="3"/>
  <c r="S81" i="3" s="1"/>
  <c r="R175" i="3"/>
  <c r="R73" i="3"/>
  <c r="P73" i="3"/>
  <c r="S73" i="3" s="1"/>
  <c r="AJ182" i="3"/>
  <c r="AP182" i="3" s="1"/>
  <c r="P35" i="3"/>
  <c r="S35" i="3" s="1"/>
  <c r="P18" i="3"/>
  <c r="S18" i="3" s="1"/>
  <c r="P184" i="3"/>
  <c r="S184" i="3" s="1"/>
  <c r="P41" i="3"/>
  <c r="S41" i="3" s="1"/>
  <c r="P95" i="3"/>
  <c r="S95" i="3" s="1"/>
  <c r="P25" i="3"/>
  <c r="S25" i="3" s="1"/>
  <c r="AJ186" i="3"/>
  <c r="AP186" i="3" s="1"/>
  <c r="AJ180" i="3"/>
  <c r="AP180" i="3" s="1"/>
  <c r="P21" i="3"/>
  <c r="S21" i="3" s="1"/>
  <c r="R62" i="3"/>
  <c r="P62" i="3"/>
  <c r="S62" i="3" s="1"/>
  <c r="AJ62" i="3"/>
  <c r="AP62" i="3" s="1"/>
  <c r="AJ188" i="3"/>
  <c r="AP188" i="3" s="1"/>
  <c r="P18" i="9"/>
  <c r="P14" i="9"/>
  <c r="P13" i="9"/>
  <c r="P16" i="9"/>
  <c r="P17" i="9"/>
  <c r="R10" i="9"/>
  <c r="Q10" i="9"/>
  <c r="Q8" i="9"/>
  <c r="R9" i="9"/>
  <c r="P15" i="9"/>
  <c r="Q13" i="9"/>
  <c r="R13" i="9" s="1"/>
  <c r="Q14" i="9" s="1"/>
  <c r="R14" i="9" s="1"/>
  <c r="Q15" i="9" s="1"/>
  <c r="R15" i="9" s="1"/>
  <c r="Q16" i="9" s="1"/>
  <c r="R16" i="9" s="1"/>
  <c r="Q17" i="9" s="1"/>
  <c r="R17" i="9" s="1"/>
  <c r="Q18" i="9" s="1"/>
  <c r="R18" i="9" s="1"/>
  <c r="Q9" i="9"/>
  <c r="Q6" i="9"/>
  <c r="R8" i="9"/>
  <c r="R42" i="3"/>
  <c r="P42" i="3"/>
  <c r="S42" i="3" s="1"/>
  <c r="R36" i="3"/>
  <c r="P36" i="3"/>
  <c r="S36" i="3" s="1"/>
  <c r="R12" i="3"/>
  <c r="P12" i="3"/>
  <c r="S12" i="3" s="1"/>
  <c r="D5" i="6"/>
  <c r="C23" i="2"/>
  <c r="R38" i="3"/>
  <c r="P38" i="3"/>
  <c r="S38" i="3" s="1"/>
  <c r="R32" i="3"/>
  <c r="P32" i="3"/>
  <c r="S32" i="3" s="1"/>
  <c r="R28" i="3"/>
  <c r="P28" i="3"/>
  <c r="S28" i="3" s="1"/>
  <c r="R40" i="3"/>
  <c r="P40" i="3"/>
  <c r="S40" i="3" s="1"/>
  <c r="H13" i="9"/>
  <c r="G14" i="9" s="1"/>
  <c r="H14" i="9" s="1"/>
  <c r="G15" i="9" s="1"/>
  <c r="H15" i="9" s="1"/>
  <c r="G16" i="9" s="1"/>
  <c r="H16" i="9" s="1"/>
  <c r="R23" i="3"/>
  <c r="P23" i="3"/>
  <c r="S23" i="3" s="1"/>
  <c r="I6" i="10"/>
  <c r="I24" i="10" s="1"/>
  <c r="H6" i="10"/>
  <c r="H24" i="10" s="1"/>
  <c r="G6" i="10"/>
  <c r="G24" i="10" s="1"/>
  <c r="F6" i="10"/>
  <c r="F24" i="10" s="1"/>
  <c r="E6" i="10"/>
  <c r="D6" i="10"/>
  <c r="D24" i="10" s="1"/>
  <c r="C24" i="10"/>
  <c r="E24" i="10" s="1"/>
  <c r="R59" i="3"/>
  <c r="P59" i="3"/>
  <c r="S59" i="3" s="1"/>
  <c r="R19" i="3"/>
  <c r="P19" i="3"/>
  <c r="S19" i="3" s="1"/>
  <c r="R51" i="3"/>
  <c r="P51" i="3"/>
  <c r="S51" i="3" s="1"/>
  <c r="R15" i="3"/>
  <c r="P15" i="3"/>
  <c r="S15" i="3" s="1"/>
  <c r="R49" i="3"/>
  <c r="P49" i="3"/>
  <c r="S49" i="3" s="1"/>
  <c r="AJ184" i="3"/>
  <c r="AP184" i="3" s="1"/>
  <c r="R56" i="3"/>
  <c r="P56" i="3"/>
  <c r="S56" i="3" s="1"/>
  <c r="R44" i="3"/>
  <c r="P44" i="3"/>
  <c r="S44" i="3" s="1"/>
  <c r="C19" i="2" l="1"/>
  <c r="C18" i="2"/>
  <c r="C17" i="2"/>
  <c r="C20" i="2"/>
  <c r="S193" i="3"/>
  <c r="D5" i="3" s="1"/>
  <c r="R193" i="3"/>
  <c r="D4" i="3" s="1"/>
  <c r="C21" i="2"/>
  <c r="AJ193" i="3"/>
  <c r="D6" i="3" s="1"/>
  <c r="C24" i="2" l="1"/>
  <c r="G27" i="2" s="1"/>
  <c r="G29" i="2" s="1"/>
  <c r="F5" i="3"/>
  <c r="E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leonardo.lopes</author>
    <author>Wilson Carlos da Silva Junior</author>
  </authors>
  <commentList>
    <comment ref="E28" authorId="0" shapeId="0" xr:uid="{00000000-0006-0000-0100-000001000000}">
      <text>
        <r>
          <rPr>
            <sz val="10"/>
            <rFont val="Arial"/>
            <family val="2"/>
          </rPr>
          <t>6.4 Fator de Criticidade de Solicitação de Serviço (SISP)
Em função da criticidade e da necessidade de alocação de recursos extras para
atendimento da demanda no prazo estipulado pelo cliente, será adotado um Fator de
Criticidade de 1,35 (um vírgula trinta e cinco), que deverá ser multiplicado pelo tamanho funcional da demanda considerada crítica, de modo a remunerar adequadamente o aumento do esforço de atendimento. Este fator é considerado para demandas que devem ser atendidas em finais de semana, feriados e fora do horário comercial. Entende-se como horário comercial o horário de 08:00 às 18:00 h, horário de Brasília.</t>
        </r>
      </text>
    </comment>
    <comment ref="G28" authorId="1" shapeId="0" xr:uid="{00000000-0006-0000-0100-000002000000}">
      <text>
        <r>
          <rPr>
            <sz val="10"/>
            <rFont val="Arial"/>
            <family val="2"/>
          </rPr>
          <t>Variação: 1 a 1,35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A8" authorId="0" shapeId="0" xr:uid="{00000000-0006-0000-0400-000001000000}">
      <text>
        <r>
          <rPr>
            <sz val="10"/>
            <rFont val="Arial"/>
            <family val="2"/>
          </rPr>
          <t>Número sequencial do item da contagem.</t>
        </r>
      </text>
    </comment>
    <comment ref="B8" authorId="0" shapeId="0" xr:uid="{00000000-0006-0000-0400-000002000000}">
      <text>
        <r>
          <rPr>
            <sz val="10"/>
            <rFont val="Arial"/>
            <family val="2"/>
          </rPr>
          <t>Verificar a descrição sobre os tipos de manutenção na aba Tipo Projeto</t>
        </r>
      </text>
    </comment>
    <comment ref="T8" authorId="0" shapeId="0" xr:uid="{00000000-0006-0000-0400-000003000000}">
      <text>
        <r>
          <rPr>
            <sz val="10"/>
            <rFont val="Arial"/>
            <family val="2"/>
          </rPr>
          <t>Item (Fundamentação) na qual a contagem se baseou</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B8" authorId="0" shapeId="0" xr:uid="{00000000-0006-0000-0500-000001000000}">
      <text>
        <r>
          <rPr>
            <sz val="10"/>
            <rFont val="Arial"/>
            <family val="2"/>
          </rPr>
          <t>Número sequencial do item da contagem.</t>
        </r>
      </text>
    </comment>
    <comment ref="L8" authorId="0" shapeId="0" xr:uid="{00000000-0006-0000-0500-000002000000}">
      <text>
        <r>
          <rPr>
            <sz val="10"/>
            <rFont val="Arial"/>
            <family val="2"/>
          </rPr>
          <t>Item (Fundamentação) na qual a contagem se baseou</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Basis Tecnologia</author>
  </authors>
  <commentList>
    <comment ref="B5" authorId="0" shapeId="0" xr:uid="{00000000-0006-0000-0800-000001000000}">
      <text>
        <r>
          <rPr>
            <sz val="10"/>
            <rFont val="Arial"/>
            <family val="2"/>
          </rPr>
          <t>Basis Tecnologia:
*Se não informado será utilizado t = 0,35</t>
        </r>
      </text>
    </comment>
    <comment ref="K16" authorId="0" shapeId="0" xr:uid="{00000000-0006-0000-0800-000002000000}">
      <text>
        <r>
          <rPr>
            <sz val="10"/>
            <rFont val="Arial"/>
            <family val="2"/>
          </rPr>
          <t xml:space="preserve">Basis Tecnologia:
Td: prazo V: tamanho em PF t: expoente t </t>
        </r>
      </text>
    </comment>
  </commentList>
</comments>
</file>

<file path=xl/sharedStrings.xml><?xml version="1.0" encoding="utf-8"?>
<sst xmlns="http://schemas.openxmlformats.org/spreadsheetml/2006/main" count="1341" uniqueCount="569">
  <si>
    <t>Contagem de Pontos de Função</t>
  </si>
  <si>
    <t>Identificação</t>
  </si>
  <si>
    <t>O.S.:</t>
  </si>
  <si>
    <t>Premio IEL de Talentos</t>
  </si>
  <si>
    <t>Tipo de Atividade:</t>
  </si>
  <si>
    <t>Desenvolvimento ou Manutenção</t>
  </si>
  <si>
    <t>Tipo de Contagem:</t>
  </si>
  <si>
    <t>Detalhada</t>
  </si>
  <si>
    <t>Aplicação:</t>
  </si>
  <si>
    <t>Portal de Compras</t>
  </si>
  <si>
    <t>Empresa</t>
  </si>
  <si>
    <t>Premio IEL de Talentos / IEL Nacional</t>
  </si>
  <si>
    <t>Elaborador da contagem:</t>
  </si>
  <si>
    <t>Equipe de Métricas</t>
  </si>
  <si>
    <t>Data da Contagem:</t>
  </si>
  <si>
    <t>Revisor da contagem:</t>
  </si>
  <si>
    <t>Data da Revisão:</t>
  </si>
  <si>
    <t>Propósito da Contagem</t>
  </si>
  <si>
    <t>Escopo da Contagem</t>
  </si>
  <si>
    <t>Quadro Resumo</t>
  </si>
  <si>
    <t>Projeto de Desenvolvimento e Manutenção</t>
  </si>
  <si>
    <t>Arquivo Lógico Interno (ALI)</t>
  </si>
  <si>
    <t>Distribuição de Esforço por Fase do Projeto 
(conforme item 6.2 do Anexo I-A do TR)</t>
  </si>
  <si>
    <t>Arquivo de Interface Externa (AIE)</t>
  </si>
  <si>
    <t>Consulta Externa (CE)</t>
  </si>
  <si>
    <t>Refino</t>
  </si>
  <si>
    <t>Entrada Externa (EE)</t>
  </si>
  <si>
    <t>Implementação</t>
  </si>
  <si>
    <t>Saída Externa (SE)</t>
  </si>
  <si>
    <t>INM</t>
  </si>
  <si>
    <t>UST</t>
  </si>
  <si>
    <t>Total (A)</t>
  </si>
  <si>
    <t>Teste</t>
  </si>
  <si>
    <t>Percentual de Esforço (E)</t>
  </si>
  <si>
    <t>Projeto de Redocumentação de Requisitos</t>
  </si>
  <si>
    <t>Distribuição de Esforço conforme item 4.11 do SISP</t>
  </si>
  <si>
    <t>Fator de criticidade</t>
  </si>
  <si>
    <t>Quantidade Final Ajustada</t>
  </si>
  <si>
    <t>Redocumentação somente requisitos</t>
  </si>
  <si>
    <t>Percentual de Esforço (E2)</t>
  </si>
  <si>
    <t>Contagem de Pontos de Função
Contagem Detalhada</t>
  </si>
  <si>
    <t>Validação/Controle de Divergência
Fábrica de Métricas/Cliente</t>
  </si>
  <si>
    <t>Contagem de PF Bruto:</t>
  </si>
  <si>
    <t>Situação:</t>
  </si>
  <si>
    <t>Percentual de Divergência:</t>
  </si>
  <si>
    <t>Contagem Fábrica de Software:</t>
  </si>
  <si>
    <t>Contagem Fábrica de Métricas:</t>
  </si>
  <si>
    <t>Tipo Projeto</t>
  </si>
  <si>
    <t>Fator Ajuste</t>
  </si>
  <si>
    <t>Módulo</t>
  </si>
  <si>
    <t>Requisito</t>
  </si>
  <si>
    <t>Processos elementares</t>
  </si>
  <si>
    <t>Tipo</t>
  </si>
  <si>
    <t>Qtd.
INM</t>
  </si>
  <si>
    <t>TD / DER</t>
  </si>
  <si>
    <t>RLR / ALR</t>
  </si>
  <si>
    <t>Complexidade</t>
  </si>
  <si>
    <t>PFB</t>
  </si>
  <si>
    <t>PFL</t>
  </si>
  <si>
    <t>Insumo</t>
  </si>
  <si>
    <t>Observação</t>
  </si>
  <si>
    <t>Validação</t>
  </si>
  <si>
    <t>PF</t>
  </si>
  <si>
    <t>Parecer Técnico</t>
  </si>
  <si>
    <t>Resposta Fábrica de Software</t>
  </si>
  <si>
    <t>Parecer Final</t>
  </si>
  <si>
    <t>Validação Final</t>
  </si>
  <si>
    <t>Qtd.</t>
  </si>
  <si>
    <t>Descrição</t>
  </si>
  <si>
    <t>C_T</t>
  </si>
  <si>
    <t>C_D</t>
  </si>
  <si>
    <t>PF_T</t>
  </si>
  <si>
    <t>PF_D</t>
  </si>
  <si>
    <t>Guia de Métricas da STI - Aplicação/Desenvolvimento</t>
  </si>
  <si>
    <t>ALI</t>
  </si>
  <si>
    <t>Categoria</t>
  </si>
  <si>
    <t>Modalidade</t>
  </si>
  <si>
    <t>TB_LISTA_SISTEMA
TB_LISTA_SISTEMA_ITEM</t>
  </si>
  <si>
    <t>EE</t>
  </si>
  <si>
    <t>CE</t>
  </si>
  <si>
    <t>SE</t>
  </si>
  <si>
    <t>Só inserir linhas antes desta.</t>
  </si>
  <si>
    <t>Tamanho Funcional</t>
  </si>
  <si>
    <t>PF_INM</t>
  </si>
  <si>
    <t>Contagem de Pontos de Função
Contagem Estimada</t>
  </si>
  <si>
    <t>Victor Farias</t>
  </si>
  <si>
    <t>Quantidade de Pontos de Função:</t>
  </si>
  <si>
    <t>Funções de Dados / Transação</t>
  </si>
  <si>
    <t>Insumos</t>
  </si>
  <si>
    <t>QTD.
INM</t>
  </si>
  <si>
    <t>Só inserir linhas depois desta.</t>
  </si>
  <si>
    <t>Tamanho Funcional Estimado:</t>
  </si>
  <si>
    <t>PF INM</t>
  </si>
  <si>
    <t>Contagem de Pontos de Função
INM - Itens Não mensuráveis</t>
  </si>
  <si>
    <t>ID</t>
  </si>
  <si>
    <t>Item PT</t>
  </si>
  <si>
    <t>Release</t>
  </si>
  <si>
    <t>Desenvolvimento</t>
  </si>
  <si>
    <t>Fund.</t>
  </si>
  <si>
    <t>Qtd</t>
  </si>
  <si>
    <t>DER</t>
  </si>
  <si>
    <t>RL/AR</t>
  </si>
  <si>
    <t>Template V.1.6</t>
  </si>
  <si>
    <t>Contagem de Unidade de Serviço Técnico - UST</t>
  </si>
  <si>
    <t>Quantidade de UST:</t>
  </si>
  <si>
    <t>Quantidade UST em PF:</t>
  </si>
  <si>
    <t>Item Catálogo</t>
  </si>
  <si>
    <t>Horas</t>
  </si>
  <si>
    <t>Descrição do Serviço Técnico / Atividade</t>
  </si>
  <si>
    <t>Tamanho Total UST:</t>
  </si>
  <si>
    <t>Tamnho UST em PF:</t>
  </si>
  <si>
    <t>Contagem de Pontos de Função
Contagem Indicativa</t>
  </si>
  <si>
    <t>Quantidade de PF:</t>
  </si>
  <si>
    <t>Arquivos Lógicos</t>
  </si>
  <si>
    <t>Funções de Dados</t>
  </si>
  <si>
    <t>Tamanho Funcional Indicativo:</t>
  </si>
  <si>
    <t>Contagem de Pontos de Função
Fundamentação</t>
  </si>
  <si>
    <t>Fundamentação da Contagem</t>
  </si>
  <si>
    <t>Título</t>
  </si>
  <si>
    <t>Imagem Tela / Link documentação / Justificativa</t>
  </si>
  <si>
    <t>Contagem de Pontos de Função
Distribuição de Esforço/ Redução de Prazo</t>
  </si>
  <si>
    <t>DISTRIBUIÇÃO DE PRAZO DE PROJETO</t>
  </si>
  <si>
    <t>REDUÇÃO DE PRAZO</t>
  </si>
  <si>
    <t>P1 - Informe o tipo de Prazo (Úteis/Corridos):</t>
  </si>
  <si>
    <t>Corridos</t>
  </si>
  <si>
    <t>Tamanho do Projeto</t>
  </si>
  <si>
    <t>DESCRIÇÃO</t>
  </si>
  <si>
    <t>VALORES</t>
  </si>
  <si>
    <t>P2 - Informe a versão do SISP:</t>
  </si>
  <si>
    <t>SISP v2.0/2.1</t>
  </si>
  <si>
    <t>Data limite desejada</t>
  </si>
  <si>
    <t>P3 - Informe Tipo do Sistema:</t>
  </si>
  <si>
    <t>Sistema OO</t>
  </si>
  <si>
    <t>Expoent t para o Tipo:</t>
  </si>
  <si>
    <t>Complex.
Baixa</t>
  </si>
  <si>
    <t>Complex.
Média</t>
  </si>
  <si>
    <t>Prazo desejado p/conclusão (dias)</t>
  </si>
  <si>
    <t>Até 10 PF</t>
  </si>
  <si>
    <t>Taxa de redução do prazo-projeto</t>
  </si>
  <si>
    <t>P4 - Informe a complexidade do projeto:</t>
  </si>
  <si>
    <t xml:space="preserve">Projetos com mais de 99 PF </t>
  </si>
  <si>
    <t>De 11 PF a 20 PF</t>
  </si>
  <si>
    <t>SISP</t>
  </si>
  <si>
    <t>LINEAR</t>
  </si>
  <si>
    <t>P5 - Informe o tamanho do Projeto em PF:</t>
  </si>
  <si>
    <t>De 21 PF a 30 PF</t>
  </si>
  <si>
    <t>Taxa de aumento de esforço</t>
  </si>
  <si>
    <t>Fases do Projeto</t>
  </si>
  <si>
    <t>% SISP</t>
  </si>
  <si>
    <t>% OS</t>
  </si>
  <si>
    <t>Dias</t>
  </si>
  <si>
    <t>Cronograma</t>
  </si>
  <si>
    <t>De 31 PF a 40 PF</t>
  </si>
  <si>
    <t>Índice multiplicador de esforço</t>
  </si>
  <si>
    <t>Início</t>
  </si>
  <si>
    <t>Fim</t>
  </si>
  <si>
    <t>De 41 PF a 50 PF</t>
  </si>
  <si>
    <t>Novo Tamanho Funcional (PF)</t>
  </si>
  <si>
    <t>Engenharia de Requisitos</t>
  </si>
  <si>
    <t>De 51 PF a 60 PF</t>
  </si>
  <si>
    <t>CRONOGRAMA COM REDUÇÃO DE PRAZO</t>
  </si>
  <si>
    <t>Arquitetura &amp; Design</t>
  </si>
  <si>
    <t>De 61 PF a 70 PF</t>
  </si>
  <si>
    <t>Data Início</t>
  </si>
  <si>
    <t>Data Fim</t>
  </si>
  <si>
    <t>De 71 PF a 80 PF</t>
  </si>
  <si>
    <t>Testes</t>
  </si>
  <si>
    <t>De 81 PF a 90 PF</t>
  </si>
  <si>
    <t>Homologação</t>
  </si>
  <si>
    <t>De 91 PF a 100 PF</t>
  </si>
  <si>
    <t>Implantação</t>
  </si>
  <si>
    <t>+ de 99 PF</t>
  </si>
  <si>
    <t>Cálculo pela fórmula de Capers Jones: 
Td = V^t</t>
  </si>
  <si>
    <t>TOTAL</t>
  </si>
  <si>
    <t>Redução 
do prazo</t>
  </si>
  <si>
    <t>Aumento
no esforço</t>
  </si>
  <si>
    <t>Redução do prazo</t>
  </si>
  <si>
    <t>Curva
Linear</t>
  </si>
  <si>
    <t>Contagem de Pontos de Função - SISP 2.0
Esforço</t>
  </si>
  <si>
    <t>Produtividade (h/PFs) -----------&gt;</t>
  </si>
  <si>
    <t>Design e Arquitetura</t>
  </si>
  <si>
    <t>Quant. PF</t>
  </si>
  <si>
    <t>Total</t>
  </si>
  <si>
    <t>Identificação da Manutenção</t>
  </si>
  <si>
    <t>Fator de Ajuste</t>
  </si>
  <si>
    <t>Item</t>
  </si>
  <si>
    <t xml:space="preserve">PF </t>
  </si>
  <si>
    <t xml:space="preserve">Especificidade </t>
  </si>
  <si>
    <t>Guia de Métricas da STI - Projeto de Melhoria - Desenv./Mantido pela Empresa</t>
  </si>
  <si>
    <t>Guia de Métricas da STI - Projeto de Melhoria - Sem redocumentação</t>
  </si>
  <si>
    <t>Guia de Métricas da STI - Projeto de Melhoria - Com redocumentação</t>
  </si>
  <si>
    <t>Guia de Métricas da STI - Projeto de Melhoria - Exclusão</t>
  </si>
  <si>
    <t>Guia de Métricas da STI - Corretiva (na garantia)</t>
  </si>
  <si>
    <t>Guia de Métricas da STI - Corretiva (fora da garantia)</t>
  </si>
  <si>
    <t>Guia de Métricas da STI - Migração de Dados</t>
  </si>
  <si>
    <t>Guia de Métricas da STI - Mudança de Plataforma - Linguagem de Programação</t>
  </si>
  <si>
    <t>Guia de Métricas da STI - Mudança de Plataforma - Banco de Dados Hierárquico</t>
  </si>
  <si>
    <t>Guia de Métricas da STI - Mudança de Plataforma - Banco de Dados Relacional</t>
  </si>
  <si>
    <t>Guia de Métricas da STI - Atualização de Versão – Linguagem de Programação</t>
  </si>
  <si>
    <t>Guia de Métricas da STI - Atualização de Versão – Browser</t>
  </si>
  <si>
    <t>Guia de Métricas da STI - Atualização de Versão – Banco de Dados</t>
  </si>
  <si>
    <t>Guia de Métricas da STI - Manutenção em interface</t>
  </si>
  <si>
    <t>Guia de Métricas da STI - Adaptação em Funcionalidades - Desenv./Mantido pela Empresa</t>
  </si>
  <si>
    <t>Guia de Métricas da STI - Adaptação em Funcionalidades - Basis com redoc.</t>
  </si>
  <si>
    <t>Guia de Métricas da STI - Adaptação em Funcionalidades - Sem redocumentação</t>
  </si>
  <si>
    <t>Guia de Métricas da STI - Adaptação em Funcionalidades - Com redocumentação</t>
  </si>
  <si>
    <t>Guia de Métricas da STI - Apuração Especial - Atualização de Dados</t>
  </si>
  <si>
    <t>Guia de Métricas da STI - Apuração Especial - Consulta Prévia</t>
  </si>
  <si>
    <t>Guia de Métricas da STI - Apuração Especial - Atualização de Dados com Consulta Prévia</t>
  </si>
  <si>
    <t>Guia de Métricas da STI - Apuração Especial - Geração de Relatórios</t>
  </si>
  <si>
    <t>Guia de Métricas da STI - Apuração Especial - Reexecução</t>
  </si>
  <si>
    <t>Guia de Métricas da STI - Atualização Dados</t>
  </si>
  <si>
    <t>Guia de Métricas da STI - Desenv., Manutenção e Publicação de Páginas Estáticas</t>
  </si>
  <si>
    <t>Guia de Métricas da STI - Verificação Erros (documentação de teste inexistente)</t>
  </si>
  <si>
    <t>Guia de Métricas da STI - Verificação Erros (documentação de teste existente)</t>
  </si>
  <si>
    <t>Guia de Métricas da STI - PF de Teste</t>
  </si>
  <si>
    <t>Guia de Métricas da STI - Manutenção de Componente Interno Reusável - Desenv./Mantido pela Empresa</t>
  </si>
  <si>
    <t>Guia de Métricas da STI - Manutenção de Componente Interno Reusável - Sem redocumentação</t>
  </si>
  <si>
    <t>Guia de Métricas da STI - Manutenção de Componente Interno Reusável - Com redocumentação</t>
  </si>
  <si>
    <t>Guia de Métricas da STI - Dados de Código</t>
  </si>
  <si>
    <t>Guia de Métricas da STI - Refino</t>
  </si>
  <si>
    <t>Guia de Métricas da STI - Refino + Implementação</t>
  </si>
  <si>
    <t>Guia de Métricas da STI - Protótipo Navegável</t>
  </si>
  <si>
    <t>Tipo de Sistema</t>
  </si>
  <si>
    <t>Expoente</t>
  </si>
  <si>
    <t>Sistema Comum – Mainframe</t>
  </si>
  <si>
    <t>Desenvolvimento de sistema com alto grau de reuso ou manutenção evolutiva</t>
  </si>
  <si>
    <t>Sistema Comum – WEB ou Cliente Servidor</t>
  </si>
  <si>
    <t>Se o projeto OO não for novidade para equipe, não tiver o desenvolvimento de componentes reusáveis, considerar sistema comum</t>
  </si>
  <si>
    <t>Sistema Cliente/Servidor</t>
  </si>
  <si>
    <t>Com alta complexidade arquitetural e integração com outros sistemas</t>
  </si>
  <si>
    <t>Sistemas Gerenciais complexos</t>
  </si>
  <si>
    <t>Com muitas integrações, Datawarehousing, Geoprocessamento, Workflow</t>
  </si>
  <si>
    <t>Software Básico, Frameworks, Sistemas Comerciais</t>
  </si>
  <si>
    <t>Software Militar</t>
  </si>
  <si>
    <t>Pesquisar Usuários</t>
  </si>
  <si>
    <t>Entidade
Perfil
Nome
Login
Email
Situação
Data Cadastro
Data Atualização
Ação
Mensagem</t>
  </si>
  <si>
    <t>Usuário</t>
  </si>
  <si>
    <t>Incluir Usuário</t>
  </si>
  <si>
    <t>Editar Usuário</t>
  </si>
  <si>
    <t>Consultar Usuário (implícito)</t>
  </si>
  <si>
    <t>Pesquisar Premiações</t>
  </si>
  <si>
    <t>Nome
Período
Data de Início
Data Fim
Qtd Categoria
Ação
Mensagem</t>
  </si>
  <si>
    <t>Incluir Prêmio</t>
  </si>
  <si>
    <t>Nome
Descrição
Data Início
Data Fim
Ação
Mensagem</t>
  </si>
  <si>
    <t>Pesquisar Categorias</t>
  </si>
  <si>
    <t>Incluir Categoria</t>
  </si>
  <si>
    <t>Consultar Categoria (implícita)</t>
  </si>
  <si>
    <t>Editar Categoria</t>
  </si>
  <si>
    <t>Nome
Descrição
Qtd Vinculos
Status
Ação
Mensagem</t>
  </si>
  <si>
    <t>Nome
Descrição
Ação
Mensagem</t>
  </si>
  <si>
    <t>Nome
Descrição
Premiação
Id do Vinculo
Situação
Ação</t>
  </si>
  <si>
    <t>Detalhar Categoria</t>
  </si>
  <si>
    <t>Mesmo PE que o Consultar Categoria (implícita)</t>
  </si>
  <si>
    <t>Pesquisar Modalidade</t>
  </si>
  <si>
    <t>Nome
Descrição
Qtd Tipos Participantes
Situação
Ação
Mensagem</t>
  </si>
  <si>
    <t>Ativar/Inativar Categoria</t>
  </si>
  <si>
    <t>ID Categoria
Ação
Mensagem</t>
  </si>
  <si>
    <t>Pesquisar Tipo de Participante</t>
  </si>
  <si>
    <t>Incluir Tipo de Participante</t>
  </si>
  <si>
    <t>Consutar Tipo de Participante (implícita)</t>
  </si>
  <si>
    <t>Editar Tipo de Participante</t>
  </si>
  <si>
    <t>Detalhar Tipo de Participante</t>
  </si>
  <si>
    <t>Ativar/Inativar Tipo de Participante</t>
  </si>
  <si>
    <t>Incluir Modalidade</t>
  </si>
  <si>
    <t>Consultar Modalidade (implícita)</t>
  </si>
  <si>
    <t>Editar Modalidade</t>
  </si>
  <si>
    <t>Detalhar Modalidade</t>
  </si>
  <si>
    <t>Ativar/Inativar Modalidade</t>
  </si>
  <si>
    <t>Modalidade
Tipo Participante</t>
  </si>
  <si>
    <t>Nome
Descrição
Premiação
Categoria
Id do Vinculo
Situação
Ação</t>
  </si>
  <si>
    <t>Modalidade
Categoria</t>
  </si>
  <si>
    <t>ID
Ação
Mensagem</t>
  </si>
  <si>
    <t>Nome
Situação
Descrição
Formulário
Qtd Campos
Situação
Ação
Mensagem</t>
  </si>
  <si>
    <t>Tipo Participante</t>
  </si>
  <si>
    <t>Nome
Descrição
Premiação
Categoria
Modalidade
ID do Vinculo
Situação
Seção
Campo
Sub Modalidades
Equipe
Anexos
Questionário
Qtd questões
Ações</t>
  </si>
  <si>
    <t>Pesquisar Listas do Sistema</t>
  </si>
  <si>
    <t>Nome
Código
Ação
Mensagem</t>
  </si>
  <si>
    <t>Incluir Lista do Sistema</t>
  </si>
  <si>
    <t>Consultar Lista do Sisetma (implícita)</t>
  </si>
  <si>
    <t>Editar Lista do Sistema</t>
  </si>
  <si>
    <t>Excluir Lista do Sistema</t>
  </si>
  <si>
    <t>Nome
Código
Valor
Texto
Ordem
Ação
Mensagem</t>
  </si>
  <si>
    <t>Nome
Código
Valor
Texto
Ordem
Ação</t>
  </si>
  <si>
    <t>Ordenar Lista</t>
  </si>
  <si>
    <t>Importar Configuração Excel</t>
  </si>
  <si>
    <t>Nome
Descrição
Data Início
Data Fim
Categoria
Modalidade
Objetivo
Tipo Participante
Enquadramento
Critério
Categoria
Etapa
Rótulo do Campo
Tipo do Campo
Obrigatório
Largura
Descrição/Dica
Tipo Questão
Titulo
Enunciado
Obrigatório
Peso Nota
Limite Caracteres
Alternativas
Obrigatório
Nome Anexo
Descrição
Obrigatório
Extensão Permitida
Tamanho Máximo
Ação
Mensagem</t>
  </si>
  <si>
    <t>Tipo de Participante</t>
  </si>
  <si>
    <t>Listas do Sistema</t>
  </si>
  <si>
    <t>Listar Termos de Aceite</t>
  </si>
  <si>
    <t>Incluir Termo de Aceite</t>
  </si>
  <si>
    <t>Editar Termo de Aceite</t>
  </si>
  <si>
    <t>Consultar Termo de Aceite (implícita)</t>
  </si>
  <si>
    <t>Excluir Termo de Aceite</t>
  </si>
  <si>
    <t>Titulo
Obrigatório
Versão
Ação
Mensagem</t>
  </si>
  <si>
    <t>Titulo
Obrigatório
Texto
Ação
Mensagem</t>
  </si>
  <si>
    <t>Titulo
Obrigatório
Texto
Ação</t>
  </si>
  <si>
    <t>Nome
Ação
Mensagem</t>
  </si>
  <si>
    <t>Copiar Categoria</t>
  </si>
  <si>
    <t>Copiar Modalidade</t>
  </si>
  <si>
    <t>Duplicar Categoria</t>
  </si>
  <si>
    <t>Desvincular Categoria</t>
  </si>
  <si>
    <t>Copiar Tipo de Participante</t>
  </si>
  <si>
    <t>Duplicar Modalidade</t>
  </si>
  <si>
    <t>Desvincular Modalidade</t>
  </si>
  <si>
    <t>Duplicar Tipo de Participante</t>
  </si>
  <si>
    <t>Desvincular Tipo de Participante</t>
  </si>
  <si>
    <t>Configurar Estrutura do Formulário de Inscrição</t>
  </si>
  <si>
    <t>Consultar Estrutura do Formulário de Inscrição (implícita)</t>
  </si>
  <si>
    <t>Adicionar Campo</t>
  </si>
  <si>
    <t>Rotulo
Descrição
Obrigatório
Tamanho
Máscara predefinida
Min caracteres
Max caracteres
Ícone
Tooltip
Placeholder
Tamanho
Espaçamento
Classe CSS
Opções (usar lista do sistema)
Valor
Texto exibido
Extensões permitidas
Tamanho máximo
Texto do cabeçalho
Texto do link
Título do Modal
Conteúdo
Ação
Mensagem</t>
  </si>
  <si>
    <t>Editar Campo</t>
  </si>
  <si>
    <t>Excluir Campo</t>
  </si>
  <si>
    <t>Consultar Campo (implícito)</t>
  </si>
  <si>
    <t>ID Campo
Ação
Mensagem</t>
  </si>
  <si>
    <t>Premiação</t>
  </si>
  <si>
    <t>Rotulo
Descrição
Obrigatório
Tamanho
Máscara predefinida
Min caracteres
Max caracteres
Ícone
Tooltip
Placeholder
Tamanho
Espaçamento
Classe CSS
Opções (usar lista do sistema)
Valor
Texto exibido
Extensões permitidas
Tamanho máximo
Texto do cabeçalho
Texto do link
Título do Modal
Conteúdo
Ação</t>
  </si>
  <si>
    <t>Modalidade
Ação</t>
  </si>
  <si>
    <t>Categoria
Premiação</t>
  </si>
  <si>
    <t>Modalidade
Premiação</t>
  </si>
  <si>
    <t>Cor primária
Fundo
Rótulos
Imagem Banner
Título
Subtítulo
Descrição Rica
Layout
Ação
Mensagem</t>
  </si>
  <si>
    <t>Cor primária
Fundo
Rótulos
Imagem Banner
Título
Subtítulo
Descrição Rica
Layout
Ação</t>
  </si>
  <si>
    <t>Visualizar Preview do Formulário</t>
  </si>
  <si>
    <t>Título
Título Questão
Título Questão de Avaliação
Tipo Questão
Campo obrigatório
Tamanho Máximo
Opções Campo
Peso
Ação</t>
  </si>
  <si>
    <t>Listar Submodalidades</t>
  </si>
  <si>
    <t>Incluir Submodalidades</t>
  </si>
  <si>
    <t>Editar Submodalidade</t>
  </si>
  <si>
    <t>Consultar Submodalidade (implícita)</t>
  </si>
  <si>
    <t>Nome
Descrição
Ação</t>
  </si>
  <si>
    <t>Ativar/Desativar Submodalidade</t>
  </si>
  <si>
    <t>Listar Configuração de Equipe</t>
  </si>
  <si>
    <t>Incluir Tipo de Vínculo</t>
  </si>
  <si>
    <t>Consultar Tipo de Vínculo (implícita)</t>
  </si>
  <si>
    <t>Editar Tipo de Vínculo</t>
  </si>
  <si>
    <t>Desativar Tipo de Vínculo</t>
  </si>
  <si>
    <t>Nome do Vínculo
Ordem
Ação</t>
  </si>
  <si>
    <t>Nome
Ordem
Ação
Mensagem</t>
  </si>
  <si>
    <t>Nome
Ordem
Ação</t>
  </si>
  <si>
    <t>Listar Configuração de Anexos</t>
  </si>
  <si>
    <t>Incluir Configuração de Anexo</t>
  </si>
  <si>
    <t>Consultar Configuração de Anexo</t>
  </si>
  <si>
    <t>Editar Configuração de Anexo</t>
  </si>
  <si>
    <t>Desativar Configuração de Anexo</t>
  </si>
  <si>
    <t>Nome do Anexo
Obrigatório
Extensões
Tamanho Max
Ação
Mensagem</t>
  </si>
  <si>
    <t>Nome do Anexo
Obrigatório
Descrição
Extensões
Tamanho Max
Ação
Mensagem</t>
  </si>
  <si>
    <t>Nome do Anexo
Obrigatório
Descrição
Extensões
Tamanho Max
Ação</t>
  </si>
  <si>
    <t>Incluir Questão do Questionário Avaliação</t>
  </si>
  <si>
    <t>Consultar Questões do Questionário Avaliação</t>
  </si>
  <si>
    <t>Consultar Questão do Questionário Avaliação (implícita)</t>
  </si>
  <si>
    <t>Editar Questão do Questionário Avaliação</t>
  </si>
  <si>
    <t>Titulo
Enunciado
Descrição
Obrigatória
Peso / Nota
Limite de caracteres
Alternativas
Ação
Mensagem</t>
  </si>
  <si>
    <t>Titulo
Enunciado
Descrição
Obrigatória
Peso / Nota
Limite de caracteres
Alternativas
Ação</t>
  </si>
  <si>
    <t>Título
Tipo
Peso
Tamanho
Qtd Alternativas
Ação</t>
  </si>
  <si>
    <t>Andro Márcio Correa Louredo</t>
  </si>
  <si>
    <t>Tipo de participante</t>
  </si>
  <si>
    <t>Gerenciar Prêmio</t>
  </si>
  <si>
    <t>PDTIC25093-2</t>
  </si>
  <si>
    <t>PDTIC25093-16</t>
  </si>
  <si>
    <t>PDTIC25093-17</t>
  </si>
  <si>
    <t>Mesmo PE que o Consultar Modalidade (implícita)</t>
  </si>
  <si>
    <t>Mesmo PE que o Consultar Tipo de participante (implícita)</t>
  </si>
  <si>
    <t>PDTIC25093-18</t>
  </si>
  <si>
    <t>PDTIC25093-13;PDTIC25093-14</t>
  </si>
  <si>
    <t>PDTIC25093-26</t>
  </si>
  <si>
    <t>Consultar Dashboard Validação de Inscrições</t>
  </si>
  <si>
    <t>Qtd Inscrições
Status Inscrição
Percentual Inscritos por Status
UF
Premiação
Categoria
Modalidade
Tipo Participante
Status
Protocolo
UF
Data Finalização
Ação
Mensagem</t>
  </si>
  <si>
    <t>Inscrição</t>
  </si>
  <si>
    <t>Iscrição
Premiação
Categoria
Modalidade
Tipo de Participante</t>
  </si>
  <si>
    <t>Consultar Premiação (combo)</t>
  </si>
  <si>
    <t>Consultar Categorias (lista/pesquisa)</t>
  </si>
  <si>
    <t>Consultar Modalidade (lista/pesquisa)</t>
  </si>
  <si>
    <t>Consultar Categoria por Premiação (combo)</t>
  </si>
  <si>
    <t>Consultar Modalidade por Categoria (combo)</t>
  </si>
  <si>
    <t>Consultar Tipo de Participante por Modalidade (combo)</t>
  </si>
  <si>
    <t>Premiação
Ação</t>
  </si>
  <si>
    <t>Premiação
Categoria
Ação</t>
  </si>
  <si>
    <t>Categoria
Modalidade
Ação</t>
  </si>
  <si>
    <t>Modalidade
Tipo de Participante
Ação</t>
  </si>
  <si>
    <t>Premiação
Categoria</t>
  </si>
  <si>
    <t>Premiação
Categoria
Modalidade</t>
  </si>
  <si>
    <t>Premiação
Modalidade
Tipo de Participante</t>
  </si>
  <si>
    <t>Detalhar Inscrição</t>
  </si>
  <si>
    <t>Inscrição
Status
E-mail
Prêmio
Categoria
Modalidade
Tipo de Participante
Percentual Campos Preenchidos
Qtd Premios Preenchidos
Qtd arquivos anexados
Qtd membros cadastrados
Qtd termos aceitos
CPF
Data
UF
Anexo
Termos
E-mail
Número
Qtd Questoes do formulário
Título questão
Obrigatoriedade questão
Resposta questão
Nome arquivo
Tipo arquivo
Data anexo
Tamanho
Equipe
E-mail equipe
Telefone
CPF membro equipe
Número Termo
Data/Hora aceite
Histórico de Status
Data/hora mudança de status
Comentário
Ação</t>
  </si>
  <si>
    <t>Solicitar Ajuste</t>
  </si>
  <si>
    <t>Inscrição
Ação
Mensagem</t>
  </si>
  <si>
    <t>Inscrição
Item de Ajuste
Descrição do Ajuste
Ação
Mensagem</t>
  </si>
  <si>
    <t>Iniciar Validação da Inscrição</t>
  </si>
  <si>
    <t>Consultar Dashboard do Participante</t>
  </si>
  <si>
    <t>Nome Usuário
Foto
Total de Inscrições
Status Inscrições
Total Inscrições por Status
Nome Premio
Status Inscrição
Categoria
Modalidade
Tipo Participante
Percentual Inscrição
Número Inscrição
Total Notificações
Titulo Notificação
Descrição Notificação
Qtd Notificações não lidas
Ação
Mensagem</t>
  </si>
  <si>
    <t>Consultar Notificações</t>
  </si>
  <si>
    <t>Qtd Não Lidas
Titulo
Descrição
Data/Hora
Ação</t>
  </si>
  <si>
    <t>Percentual Inscrição
Qtd questões preenchidas/Total questões
Título Questão Formulário de Inscrição
Descrição Questão
Obrigatoriedade questão
Resposta
Número Questão Questionário de Avaliação
Título Questão
Tipo Questão
Obrigatoriedade
Peso
Resposta
Qtd min membros equipe
Qtd max membros equipe
Qtd membros cadastrados
Nome membro
CPF
E-mail
Telefone
Genero
Tipo de validação do formulário
Mensagem de validação
Tipo Anexo
Tipo Arquivo
Arquivo
Ação
Mensagem</t>
  </si>
  <si>
    <t>Realizar Inscrição (Rascunho)</t>
  </si>
  <si>
    <t>Finalizar Inscrição</t>
  </si>
  <si>
    <t>ID Inscrição
Termo de Aceite
Ação
Mensagem</t>
  </si>
  <si>
    <t>Editar Inscrição</t>
  </si>
  <si>
    <t>Realizar Ajuste na Inscrição</t>
  </si>
  <si>
    <t>Mesmo PE que Editar Inscrição</t>
  </si>
  <si>
    <t>Reenviar Inscrição</t>
  </si>
  <si>
    <t>Consultar Termo de Aceite</t>
  </si>
  <si>
    <t>Titulo Termo de Aceite
Descrição Termo de Aceite
Ação</t>
  </si>
  <si>
    <t>Marcar Notificação como Lida</t>
  </si>
  <si>
    <t>Notificação
Ação
Mensagem</t>
  </si>
  <si>
    <t>Aceitar / Rejeitar Inscrição</t>
  </si>
  <si>
    <t>Total de itens para ajustes
Total de itens conferidos
Numero item
Descrição item
Parecer da aprovação
Ação
Mensagem</t>
  </si>
  <si>
    <t>Premiação
Inscrição</t>
  </si>
  <si>
    <t>HU-015_Inscricao_Participante.docx</t>
  </si>
  <si>
    <t>HU-016_Dashboard_Participante.docx</t>
  </si>
  <si>
    <t>HU-017_Listar_Inscricoes_Validacao.docx</t>
  </si>
  <si>
    <t>HU-018_Analisar_Validar_Inscricao.docx</t>
  </si>
  <si>
    <t>HU-019_Solicitar_Ajustes_Inscricao.docx</t>
  </si>
  <si>
    <t>Login
Nome
CPF
Telefone
Celular
Email
Cargo
Perfil
UF Atuação
Entidade
Ação
Mensagem</t>
  </si>
  <si>
    <t>Login
Nome
CPF
Telefone
Celular
Email
Cargo
Perfil
UF Atuação
Entidade
Ação</t>
  </si>
  <si>
    <t>Nome
CPF
Telefone
Celular
Email
Cargo
Perfil
UF Atuação
Entidade
Ação
Mensagem</t>
  </si>
  <si>
    <t>Usuário
UF Regionais
Entidades</t>
  </si>
  <si>
    <t>id
login
nome
email
perfilId
nomePerfil
sistemasIds
ativo
idEntidades
idUF</t>
  </si>
  <si>
    <t>Editar Template de E-mail</t>
  </si>
  <si>
    <t>Visualizar E-mail</t>
  </si>
  <si>
    <t>Consultar Template de E-mail (implícita)</t>
  </si>
  <si>
    <t>Tipo de E-mail
Assunto do E-mail
Corpo do E-mail
Placeholders
Ação
Mensagem</t>
  </si>
  <si>
    <t>Tipo de E-mail
Assunto do E-mail
Corpo do E-mail
Ação
Mensagem</t>
  </si>
  <si>
    <t>Prêmio
Nome do Participante
Titulo da Premiação
Nome da Categoria
Nome da Modalidade
Número do Protocolo
Texto do Ajuste
Texto do Parecer
Nome do Administrador
Ação</t>
  </si>
  <si>
    <t>HU-022_Notificacoes_InApp.docx</t>
  </si>
  <si>
    <t>HU-021_Configurar_Templates_Email.docx</t>
  </si>
  <si>
    <t>HU-020_Cadastrar_Admin_Regionais.docx</t>
  </si>
  <si>
    <t>Dashboard</t>
  </si>
  <si>
    <t>Consultar Dashboard Gerencial</t>
  </si>
  <si>
    <t>UF
Premiação
Categoria
Modalidade
Data Inicio
Data Fim
Status
Qtd por Status
Qtd por UF/Status
Qtd por Categoria/Status
Ação
Mensagem</t>
  </si>
  <si>
    <t>Premiação
Categoria
Modalidade
Inscrição</t>
  </si>
  <si>
    <t>CD_CATEGORIA (TB_CATEGORIA)
CD_PREMIACAO
NM_CATEGORIA
DS_CATEGORIA
CD_CRIADO_POR
DT_CRIADO_EM
CD_ATUALIZADO_POR
DT_ATUALIZADO_EM
FL_ATIVO
CD_PREMIACAO_CATEGORIA (TB_PREMIACAO_CATEGORIA)
CD_PREMIACAO
CD_CATEGORIA
NR_ORDEM</t>
  </si>
  <si>
    <t>TB_CATEGORIA
TB_PREMIACAO_CATEGORIA</t>
  </si>
  <si>
    <t>TB_MODALIDADE
TB_MODALIDADE_CATEGORIA</t>
  </si>
  <si>
    <t>CD_MODALIDADE (TB_MODALIDADE)
CD_CATEGORIA
NM_MODALIDADE
DS_MODALIDADE
DS_REGULAMENTO_LINK
DT_INSCRICAO_INICIO
DT_INSCRICAO_FIM
CD_CRIADO_POR
DT_CRIADO_EM
CD_ATUALIZADO_POR
DT_ATUALIZADO_EM
FL_ATIVO
CD_MODALIDADE_CATEGORIA (TB_MODALIDADE_CATEGORIA)
CD_MODALIDADE
CD_PREMIACAO_CATEGORIA
DS_REGULAMENTO_LINK
DT_INSCRICAO_INICIO
DT_INSCRICAO_FIM
NR_ORDEM</t>
  </si>
  <si>
    <t>CD_TIPO_PARTICIPANTE (TB_TIPO_PARTICIPANTE)
CD_MODALIDADE
NM_TIPO_PARTICIPANTE
FL_PERMITE_EQUIPE
QT_EQUIPE_MINIMO
QT_EQUIPE_MAXIMO
CD_CRIADO_POR
DT_CRIADO_EM
CD_ATUALIZADO_POR
DT_ATUALIZADO_EM
FL_ATIVO
DS_SLUG_URL
DS_TIPO_PARTICIPANTE
DS_ABRANGENCIA
CD_FORMULARIO_DINAMICO (TB_FORMULARIO_DINAMICO)
NM_FORMULARIO_DINAMICO
NR_VERSAO
DS_CONFIGURACAO_JSON
DS_TITULO
DS_FORMULARIO_DINAMICO
CD_FORMULARIO_CAMPO (TB_FORMULARIO_CAMPO)
CD_TIPO_CAMPO
NM_ROTULO
DS_FORMULARIO_CAMPO
FL_OBRIGATORIO
NR_COLUNA_GRID
NR_ORDEM
DS_CONFIGURACAO_JSON
ID_ETAPA
DS_PERSONALIZACAO_JSON
DS_PLACEHOLDER
DS_VALIDACAO_REGEX
NR_TAMANHO_MAXIMO
DS_OPCOES_JSON
DS_DICA_PREENCHIMENTO
CD_SECAO_FORMULARIO (TB_SECAO_FORMULARIO)
NM_SECAO_FORMULARIO
DS_SECAO_FORMULARIO
NR_ORDEM
FL_OBRIGATORIA
CD_ENQUADRAMENTO (TB_ENQUADRAMENTO)
NM_ENQUADRAMENTO
DS_DESCRICAO
CD_TIPO_VINCULO_MEMBRO (TB_TIPO_VINCULO_MEMBRO)
NM_TIPO_VINCULO_MEMBRO
NR_ORDEM
CD_MEMBRO_EQUIPE_CONFIG (TB_MEMBRO_EQUIPE_CONFIG)
NM_CAMPO_EXTRA
FL_OBRIGATORIO
CD_ANEXO_CONFIGURACAO (TB_ANEXO_CONFIGURACAO)
NM_ANEXO_CONFIGURACAO
DS_ANEXO_CONFIGURACAO
FL_OBRIGATORIO
DS_EXTENSAO_PERMITIDA
NR_TAMANHO_MAXIMO_MB
NR_ORDEM
CD_QUESTIONARIO (TB_QUESTIONARIO)
NM_QUESTIONARIO
DS_QUESTIONARIO
CD_QUESTAO_ALTERNATIVA (TB_QUESTAO_ALTERNATIVA)
DS_TEXTO
NR_ORDEM
CD_QUESTAO_AVALIACAO (TB_QUESTAO_AVALIACAO)
CD_TIPO_QUESTAO
DS_ENUNCIADO
NR_LIMITE_CARACTERES
NR_ORDEM
FL_OBRIGATORIO
VL_PESO_NOTA
DS_TITULO
DS_DESCRICAO
CD_BRANDING_PREMIO (TB_BRANDING_PREMIO)
CD_PREMIACAO
DS_LOGO_URL
DS_COR_PRIMARIA
DS_COR_SECUNDARIA
DS_COR_FUNDO
DS_BANNER_URL
DS_FAVICON_URL</t>
  </si>
  <si>
    <t>Notificação Participante</t>
  </si>
  <si>
    <t>CD_NOTIFICACAO_PARTICIPANTE
CD_INSCRICAO
CD_USUARIO
DS_TIPO
NM_TITULO
DS_MENSAGEM
FL_LIDA
DT_ENVIO
CD_CRIADO_POR
DT_CRIADO_EM
CD_ATUALIZADO_POR
DT_ATUALIZADO_EM
FL_ATIVO</t>
  </si>
  <si>
    <t>TB_NOTIFICACAO_PARTICIPANTE</t>
  </si>
  <si>
    <t>Validação Inscrição</t>
  </si>
  <si>
    <t>CD_VALIDACAO_INSCRICAO (TB_VALIDACAO_INSCRICAO)
CD_INSCRICAO
CD_USUARIO_VALIDADOR
DS_STATUS_VALIDACAO
DS_PARECER
DT_VALIDACAO
CD_CRIADO_POR
DT_CRIADO_EM
CD_ATUALIZADO_POR
DT_ATUALIZADO_EM
FL_ATIVO
CD_INSCRICAO_HISTORICO (TB_INSCRICAO_HISTORICO)
DS_STATUS_ANTERIOR
DS_STATUS_NOVO
CD_USUARIO_RESPONSAVEL
DT_ALTERACAO
DS_OBSERVACAO
NM_USUARIO_RESPONSAVEL
CD_AJUSTE_ITEM (TB_AJUSTE_ITEM)
NR_SEQUENCIA
DS_TEXTO
FL_ATENDIDO
DT_ATENDIDO
NM_USUARIO_RESPONSAVEL</t>
  </si>
  <si>
    <t>TB_VALIDACAO_INSCRICAO
TB_INSCRICAO_HISTORICO
TB_AJUSTE_ITEM</t>
  </si>
  <si>
    <t>Auditoria de E-mails</t>
  </si>
  <si>
    <t>TB_AUDITORIA_EMAIL
TB_ANEXO_AUDITORIA_EMAIL</t>
  </si>
  <si>
    <t>CD_AUDITORIA_EMAIL (TB_AUDITORIA_EMAIL)
VL_FROM
VL_TO
VL_CC
VL_BCC
VL_SUBJECT
VL_BODY
FL_HTML
TS_SOLICITACAO
TS_ENVIO
NM_LOGIN
STATUS
ERRO
CD_ANEXO_AUDITORIA_EMAIL (TB_ANEXO_AUDITORIA_EMAIL)
CD_AUDITORIA_EMAIL
VL_NAME
BL_DATA
VL_MIME_TYPE
VL_LENGTH
FL_INLINE</t>
  </si>
  <si>
    <t>CD_LISTA_SISTEMA (TB_LISTA_SISTEMA)
ID_CODIGO
NM_LISTA_SISTEMA
CD_CRIADO_POR
DT_CRIADO_EM
CD_ATUALIZADO_POR
DT_ATUALIZADO_EM
FL_ATIVO
CD_LISTA_SISTEMA_ITEM (TB_LISTA_SISTEMA_ITEM)
CD_LISTA_SISTEMA
VL_ITEM
DS_TEXTO
NR_ORDEM
FL_ATIVO</t>
  </si>
  <si>
    <t>TB_TIPO_PARTICIPANTE
TB_FORMULARIO_DINAMICO
TB_FORMULARIO_CAMPO
TB_SECAO_FORMULARIO
TB_ENQUADRAMENTO
TB_TIPO_VINCULO_MEMBRO
TB_MEMBRO_EQUIPE_CONFIG
TB_ANEXO_CONFIGURACAO
TB_QUESTIONARIO
TB_QUESTAO_AVALIACAO
TB_QUESTAO_ALTERNATIVA
TB_BRANDING_Premiação</t>
  </si>
  <si>
    <t>Tipo Participante
Premiação
Modalidade
Categoria</t>
  </si>
  <si>
    <t>Identificador
Ação
Mensagem</t>
  </si>
  <si>
    <t>Criar e Vincular Categoria</t>
  </si>
  <si>
    <t>Criar e Vincular Modalidade</t>
  </si>
  <si>
    <t>Nome
Descrição
Link do Regulamento
Data Início Período Inscrição
Data Fim Período Inscrição
Ação
Mensagem</t>
  </si>
  <si>
    <t>Categoria
Modalidade
Tipo Participante
Premiação</t>
  </si>
  <si>
    <t>Premiação
Tipo de Participante
Categoria
Modalidade</t>
  </si>
  <si>
    <t xml:space="preserve">Premiação
Categoria
Modalidade
Tipo Participante
</t>
  </si>
  <si>
    <t>Consultar Links Públicos de Inscrição</t>
  </si>
  <si>
    <t>Gerar Novo Link</t>
  </si>
  <si>
    <t>Consultar Categorias (combo)</t>
  </si>
  <si>
    <t>Tipo de Participante
URL
Ação</t>
  </si>
  <si>
    <t>Categoria
Modalidade
Tipo de Participante
Ação
Mensagem</t>
  </si>
  <si>
    <t>Premiação
Categoria
Modalidade
Tipo de Participante</t>
  </si>
  <si>
    <t>Premiação
Categoria
Modalidade
Tipo de Participante
Inscrição</t>
  </si>
  <si>
    <t>Premiação
Inscrição
Notificação Participante</t>
  </si>
  <si>
    <t>Premiação
Inscrição
Tipo de Participante</t>
  </si>
  <si>
    <t>Premiação
Tipo de Participante</t>
  </si>
  <si>
    <t>Inscrição
Auditoria de E-mail
Notificação Participante</t>
  </si>
  <si>
    <t>Inscrição
Tipo de Participante</t>
  </si>
  <si>
    <t xml:space="preserve">Tipo Participante
</t>
  </si>
  <si>
    <t>HU-024_Configurar_Etapas_de_Avaliacao.docx</t>
  </si>
  <si>
    <t>Alterar Configurações Avaliações e Etapas</t>
  </si>
  <si>
    <t>Cadastrar Nova Etapa</t>
  </si>
  <si>
    <t>Editar Etapa</t>
  </si>
  <si>
    <t>Excluir Etapa</t>
  </si>
  <si>
    <t>Alterar ordem das etapas</t>
  </si>
  <si>
    <t>Realiza o cálculo da pontuação máxima.</t>
  </si>
  <si>
    <t>Consultar Configurações Avaliação e Etapas (implícita)</t>
  </si>
  <si>
    <t>Confidencialidade da avaliação
Mostrar nota agregada...
Pontuação máxima por nota máxima
Pontuação restante
Número etapa
Nome da etapa
Período
Status etapa
Operador etapa
Data liberação feedback
Tipo de Participante
Tipo da Questão
Título da Questão
Enunciado
Peso / Nota
Ação</t>
  </si>
  <si>
    <t>Confidencialidade da avaliação
Mostrar nota agregada...
Pontuação máxima por nota máxima
Pontuação restante
Ação
Mensagem</t>
  </si>
  <si>
    <t>Nome da etapa
Início
Fim
Liberação do feedback
Operador da etapa
Ação
Mensagem</t>
  </si>
  <si>
    <t>Consultar Etapa (implícita)</t>
  </si>
  <si>
    <t>ID
Ordem
Ação
Mensagem</t>
  </si>
  <si>
    <t>Avaliação</t>
  </si>
  <si>
    <t>Consultar Alocação de Avaliadores por Participante</t>
  </si>
  <si>
    <t>Apresenta o total de inscrições realizadas</t>
  </si>
  <si>
    <t>Consultar Etapa por Premiação (combo)</t>
  </si>
  <si>
    <t>Consultar Grupo (combo)</t>
  </si>
  <si>
    <t>HU-025_Alocar_Avaliadores.docx</t>
  </si>
  <si>
    <t>Etapa
ID Premiação
Ação
Mensagem</t>
  </si>
  <si>
    <t>Consultar Alocação de Avaliadores</t>
  </si>
  <si>
    <t>Premio
Etapa
Grupo
Categoria
Modalidade
Tipo de Participante
Status das Inscrições
Total por status
Percentual por status
Total de Inscrições
Qtd de Avaliadores
Total avaliadores no pool
Status pool
Nome avaliador
E-mail avaliador
UF
Qtd avaliações alocadas
Qtd avaliações em andamento
Qtd avaliações finalizadas
Ação
Mensagem</t>
  </si>
  <si>
    <t>Premiação
Tipo Participante
Categoria
Modalidade
Usuário</t>
  </si>
  <si>
    <t>Salvar Pool</t>
  </si>
  <si>
    <t>ID Avaliador
ID Pool
Ação
Mensagem</t>
  </si>
  <si>
    <t>Cadastrar Avaliador</t>
  </si>
  <si>
    <t>Login / E-mail AD
Nome Completo
CPF
Cargo / Instituição
UFs de atuação
Ação
Mensagem</t>
  </si>
  <si>
    <t>Premiação
Etapa
Grupo
Total de Inscrições
Participante
Projeto
Total avaliadores selecionados/necessários
Localidade
Categoria
Modalidade
Tipo de Participante
Avaliador
E-mail avaliador
Total avaliações alocadas
Total avaliações em andamento
Total avaliações finalizadas
Ação
Mensagem</t>
  </si>
  <si>
    <t>Grupo
ID Premiação
Ação
Mensagem</t>
  </si>
  <si>
    <t>Participante
Projeto
Etapa
Localidade
Avaliador
E-mail avaliador
Total avaliações alocadas
Total avaliações em andamento
Total avaliações finalizadas
Ação</t>
  </si>
  <si>
    <t>Consultar Avaliadores por Inscrição</t>
  </si>
  <si>
    <t>Incluir Avaliadores para Inscrição</t>
  </si>
  <si>
    <t>ID Avaliador
Ação
Mensagem</t>
  </si>
  <si>
    <t>HU-027-Painel Administrativo_Avaliacoes</t>
  </si>
  <si>
    <t>Consultar Painel de Avaliações</t>
  </si>
  <si>
    <t>Qtd Avaliadores Alocados
Percentual Avaliadores Alocados
Qtd avaliações em andamento
Percentual avaliações em andamento
Qtd avaliações concluidas
Percentual avaliações concluidas
Qtd avaliações consolidadas
Percentual avaliações consolidadas
Qtd avaliação sem avaliadores
Percentual avaliação sem avaliadores
Número protocolo
Status
Inscrição / Etapa / Avaliador
Premiação
Categoria
Modalidade
Avaliações
Status
Ação
Mensagem</t>
  </si>
  <si>
    <t>Consultar Etapas por Inscrição</t>
  </si>
  <si>
    <t>Etapa
Tipo Etapa
Qtd avaliações/avaliações realizadas
Status
Ação</t>
  </si>
  <si>
    <t>Avaliador
Data/hora finalização
Qtd de questões
Status
Ação</t>
  </si>
  <si>
    <t>Consultar Avaliações por Etapa</t>
  </si>
  <si>
    <t>Visualizar Avaliações</t>
  </si>
  <si>
    <t>Inscrição
Premiação
Modalidade
Categoria
Etapa atual
Qtd avaliações finalizadas/total avaliações
Status da consolidação
Inicial Avaliador
Número Avaliador
Nome Avaliador
Status avaliação
Qtd questões
Nota da questão
Número questão
Descrição questão
Feedback
Feedback consolidado
Status feedback consolidado
Ação
Mensagem</t>
  </si>
  <si>
    <t>Consolidar Avaliação</t>
  </si>
  <si>
    <t>Texto consolidação
Ação
Mensagem</t>
  </si>
  <si>
    <t>Consultar Auditoria de Ajustes</t>
  </si>
  <si>
    <t>Rodada
Apenas alterações
Data solicitação
Data reenvio
Qtd alterações
Tipo de alteração
Qtd alteração por tipo
Status alteração
Item alterado
Valor anterior
Valor atual
Ação
Mensagem</t>
  </si>
  <si>
    <t>HU-026_Auditoria_Ajustes_Inscricao.docx</t>
  </si>
  <si>
    <t>Consultar Rodadas (combo)</t>
  </si>
  <si>
    <t>Rodada
Ação
Mensagem</t>
  </si>
  <si>
    <t>Exportar Auditoria de Ajustes para CSV</t>
  </si>
  <si>
    <t>Rodada
Data Antes
Data Depois
Superficie
Id Registro
Registro
Campo
Valor Antes
Valor Depois
Tipo Operacao
Ação</t>
  </si>
  <si>
    <t>Pré-visualizar Consolidação</t>
  </si>
  <si>
    <t>Texto
Ação</t>
  </si>
  <si>
    <t>Consultar Painel Minhas Avaliações</t>
  </si>
  <si>
    <t>Nome avaliador
Quantidade de avaliações pendentes
Prazo máximo para avaliação pendentes
Qtd avaliações a iniciar
Qtd avaliações em andamento
Qtd avaliações finalizadas
Premiação
Etapa
Status
Número projeto
Status avaliação da Inscrição
Modalidade
Categoria
Tipo Participante
Percentual de conclusão
Prazo inscrição
Ação
Mensagem</t>
  </si>
  <si>
    <t>Consultar Avaliação (implícita)</t>
  </si>
  <si>
    <t>Salvar Avaliação</t>
  </si>
  <si>
    <t>Finalizar Avaliação</t>
  </si>
  <si>
    <t>Etapa
Status
Num projeto
Premiação
Organização
Cidade / UF
E-mail
Categoria
Modalidade
Tipo de Participante
Média Ponderada
Nota
Qtd questões/total pontuadas
Percentual questões pontuadas
Prazo
Qtd avaliadores
Confidencialidade
Anexos
Número questão
Peso
Questão
Resposta Questão
Quantidade estrelas
Nota
Feedback geral
Nome Avaliador (Outros avaliadores)
Data início/fim avaliação
Status avaliação
Transição avaliação (Histórico)
Data/hora transição
Avaliador</t>
  </si>
  <si>
    <t>Questão
Nota questão
Feedback geral
Ação
Mensagem</t>
  </si>
  <si>
    <t>Reabrir Avaliação</t>
  </si>
  <si>
    <t>HU-028-Avaliar_Inscricao.docx</t>
  </si>
  <si>
    <t>TB_INSCRICAO
TB_INSCRICAO_RESPOSTA
TB_INSCRICAO_RESPOSTA_QUESTAO
TB_INSCRICAO_DOCUMENTO
TB_ARQUIVO
TB_CONTEUDO_ARQUIVO
TB_DOWNLOAD_ARQUIVO
TB_ACEITE_PARTICIPANTE
TB_AUTOSAVE_LOG
TB_INSCRICAO_HISTORICO
TB_INSCRICAO_SNAPSHOT</t>
  </si>
  <si>
    <t>CD_INSCRICAO (TB_INSCRICAO)
CD_USUARIO
CD_PREMIACAO
CD_CATEGORIA
CD_MODALIDADE
CD_TIPO_PARTICIPANTE
DS_STATUS
DT_INICIO
DT_FINALIZACAO
NR_PERCENTUAL_PREENCHIM... (Percentual de Preenchimento)
DS_NUMERO_PROTOCOLO
CD_CRIADO_POR
DT_CRIADO_EM
CD_ATUALIZADO_POR
DT_ATUALIZADO_EM
FL_ATIVO
CD_TIPO_PART_MOD_CAT
CD_ENQUADRAMENTO
CD_UF
VL_EMAIL
CD_INSCRICAO_RESPOSTA (TB_INSCRICAO_RESPOSTA)
CD_FORMULARIO_CAMPO
DS_VALOR_TEXTO
NR_VALOR_NUMERICO
DT_VALOR_DATA
FL_VALOR_BOOLEANO
DT_ULTIMA_ALTERACAO
CD_CRIADO_POR
DT_CRIADO_EM
CD_ATUALIZADO_POR
DT_ATUALIZADO_EM
FL_ATIVO
CD_INSCRICAO_RESPOSTA_QUESTAO (TB_INSCRICAO_RESPOSTA_QUESTAO)
CD_QUESTAO_AVALIACAO
CD_QUESTAO_ALTERNATIVA
DS_RESPOSTA_TEXTO
DT_ULTIMA_ALTERACAO
CD_CRIADO_POR
DT_CRIADO_EM
CD_ATUALIZADO_POR
DT_ATUALIZADO_EM
FL_ATIVO
CD_INSCRICAO_DOCUMENTO (TB_INSCRICAO_DOCUMENTO)
NM_ARQUIVO
DS_TIPO_MIME
NR_TAMANHO_BYTES
DT_UPLOAD
CD_CRIADO_POR
DT_CRIADO_EM
CD_ATUALIZADO_POR
DT_ATUALIZADO_EM
FL_ATIVO
CD_ANEXO_CONFIGURACAO
CD_ARQUIVO (TB_ARQUIVO)
NM_ARQUIVO
NM_MIME
NR_TAMANHO
FL_STORED
CD_ACEITE_PARTICIPANTE (TB_ACEITE_PARTICIPANTE)
CD_TERMO_ACEITE
FL_ACEITO
DT_ACEITE
DS_IP_ORIGEM
CD_CRIADO_POR
DT_CRIADO_EM
CD_ATUALIZADO_POR
DT_ATUALIZADO_EM
FL_ATIVO
CD_AUTOSAVE_LOG (TB_AUTOSAVE_LOG)
DS_JSON_SNAPSHOT
DT_AUTOSAVE
DS_IP_ORIGEM
CD_INSCRICAO_HISTORICO (TB_INSCRICAO_HISTORICO)
DS_STATUS_ANTERIOR
DS_STATUS_NOVO
CD_USUARIO_RESPONSAVEL
DT_ALTERACAO
DS_OBSERVACAO
FL_ATIVO
CD_SNAPSHOT (TB_INSCRICAO_SNAPSHOT)
DS_TIPO
NR_RODADA
DT_CAPTURA
DS_JSON_ESTADO
FL_ACEITO</t>
  </si>
  <si>
    <t>Avaliação de Inscrição</t>
  </si>
  <si>
    <t>Alocação Avaliadores</t>
  </si>
  <si>
    <t>CD_ALOCACAO_AVALIADOR_GRUPO
CD_ETAPA
CD_TIPO_PART_MOD_CAT
CD_USUARIO_AVALIADOR
DS_SITUACAO
CD_CRIADO_POR
DT_CRIADO_EM
CD_ATUALIZADO_POR
DT_ATUALIZADO_EM
FL_ATIVO
NM_AVALIADOR
LG_AVALIADOR</t>
  </si>
  <si>
    <t>Alocação Avaliadores
Usuário</t>
  </si>
  <si>
    <t>Alocação Avaliadores
Usuário
Avaliação de Inscrição
Categoria
Modalidade
Inscrição</t>
  </si>
  <si>
    <t>Premiajção
Alocação Avaliadores</t>
  </si>
  <si>
    <t>Premiação
Categoria
Modalidade
Alocação Avaliadores
Avaliação de Inscrição</t>
  </si>
  <si>
    <t>Premiação
Avaliação de Inscrição</t>
  </si>
  <si>
    <t>Alocação Avaliadores
Usuário
Inscrição</t>
  </si>
  <si>
    <t>Inscrição
Premiação
Alocação Avaliadores
Usuário
Avaliação de Inscrição
Tipo de Participante</t>
  </si>
  <si>
    <t>Alocação Avaliadores
Avaliação de Inscrição
Premiação
Inscrição
Modalidade
Categoria
Tipo de Participante</t>
  </si>
  <si>
    <t>TB_ALOCACAO_AVALIADOR_GRUPO</t>
  </si>
  <si>
    <t>CD_ALOCACAO_AVALIADOR_PARTICIPANTE (TB_ALOCACAO_AVALIADOR_PARTICIPANTE)
CD_ETAPA
CD_INSCRICAO
CD_USUARIO_AVALIADOR
DS_SITUACAO
DS_STATUS_AVALIACAO
DT_INICIO
DT_FINALIZACAO
CD_CRIADO_POR
DT_CRIADO_EM
CD_ATUALIZADO_POR
DT_ATUALIZADO_EM
FL_ATIVO
NM_AVALIADOR
LG_AVALIADOR
DS_FEEDBACK_AVALIADOR
CD_AVALIACAO_HISTORICO (TB_AVALIACAO_HISTORICO)
CD_ALOCACAO_AVALIADOR_PARTICIPANTE
DS_STATUS_ANTERIOR
DS_STATUS_NOVO
CD_USUARIO_RESPONSAVEL
NM_USUARIO_RESPONSAVEL
DT_ALTERACAO
DS_OBSERVACAO
CD_CRIADO_POR
DT_CRIADO_EM
CD_ATUALIZADO_POR
DT_ATUALIZADO_EM
FL_ATIVO
CD_AVALIACAO_NOTA (TB_AVALIACAO_NOTA)
CD_ALOCACAO_AVALIADOR_PARTICIPANTE
CD_QUESTAO_AVALIACAO
NR_VALOR
CD_CRIADO_POR
DT_CRIADO_EM
CD_ATUALIZADO_POR
DT_ATUALIZADO_EM
FL_ATIVO</t>
  </si>
  <si>
    <t>TB_ALOCACAO_AVALIADOR_PARTICIPANTE
TB_AVALIACAO_HISTORICO
TB_AVALIACAO_NOTA</t>
  </si>
  <si>
    <t>Os dados da edição já atravessaram a fronteira.</t>
  </si>
  <si>
    <t>Consultar Termos de Aceite por Prêmios</t>
  </si>
  <si>
    <t>Visualizar Termo de Aceite</t>
  </si>
  <si>
    <t>Aceitar Termo de Aceite</t>
  </si>
  <si>
    <t>HU-029_Termo_Confidencialidade_Avaliador.docx</t>
  </si>
  <si>
    <t>Prêmio
Status Termo
Ação</t>
  </si>
  <si>
    <t>Termo de Confidencialidade
Ação</t>
  </si>
  <si>
    <t>ID Termo
Ação
Mensagem</t>
  </si>
  <si>
    <t>Gerar com IA</t>
  </si>
  <si>
    <t>HU-031_Consolidar_Feedback.docx</t>
  </si>
  <si>
    <t>Excluir Inscrição</t>
  </si>
  <si>
    <t>PIEL_Validar_Inscricoes.docx</t>
  </si>
  <si>
    <t>HU-032_Configurar Criterios de Desempate.docx</t>
  </si>
  <si>
    <t>Configurar Critérios de Desempate</t>
  </si>
  <si>
    <t>Consultar Critérios de Desempate</t>
  </si>
  <si>
    <t>Tipo de participante
Quetões disponíveis
Questão
Descrição questão
Tipo
Peso
Ordem
Qtd Critérios configurados
Qtd critérios selecionados
Ação
Mensagem</t>
  </si>
  <si>
    <t>Premiação
Avaliação de Inscrição
Tipo de Participante
Inscrição</t>
  </si>
  <si>
    <t>CD_PREMIACAO (TB_PREMIACAO)
NM_PREMIACAO
DS_PREMIACAO
DT_INICIO
DT_FIM
DS_IMAGEM_BANNER
CD_CRIADO_POR
DT_CRIADO_EM
CD_ATUALIZADO_POR
DT_ATUALIZADO_EM
FL_ATIVO
DS_REGULAMENTO_URL
CD_LINK_PUBLICO (TB_LINK_PUBLICO)
CD_TIPO_PARTICIPANTE
DS_TOKEN_UNICO
DS_URL_SLUG
DT_CRIACAO
DT_EXPIRACAO
CD_TIPO_PART_MOD_CAT
TB_TERMO_ACEITE (TB_LINK_PUBLICO)
CD_TERMO_ACEITE
NM_TITULO
DS_TEXTO_HTML
NR_VERSAO
FL_OBRIGATORIO
CD_CONFIGURACAO_EMAIL_PREMIO (TB_CONFIGURACAO_EMAIL_PREMIO)
DS_TIPO_EMAIL
DS_ASSUNTO
DS_CORPO_HTML
CD_ETAPA (TB_ETAPA)
CD_PREMIACAO
NM_ETAPA
NR_ORDEM
DT_INICIO
DT_FIM
DS_SITUACAO
FL_ATIVO
DT_LIBERACAO_FEEDBACK
CD_TERMO_CONFIDENCIALIDADE (TB_TERMO_CONFIDENCIALIDADE)
CD_PREMIACAO
NM_TITULO
DS_TIPO
DS_TEXTO_HTML
CD_ARQUIVO
CD_ACEITE_TERMO_CONFIDENCIALIDADE (TB_ACEITE_TERMO_CONFIDENCIALIDADE)
CD_USUARIO_AVALIADOR
NM_AVALIADOR
LG_AVALIADOR
DT_ACEITE
DS_IP_ORIGEM
FL_ATIVO
CD_DESEMPATE_CRITERIO (TB_DESEMPATE_CRITERIO)
CD_PREMIACAO
CD_QUESTAO_AVALIACAO
NR_ORDEM
CD_CRIADO_POR
DT_CRIADO_EM
CD_ATUALIZADO_POR
DT_ATUALIZADO_EM
FL_ATIVO</t>
  </si>
  <si>
    <t>TB_PREMIACAO
TB_LINK_PUBLICO
TB_TERMO_ACEITE
TB_CONFIGURACAO_EMAIL_PREMIO
TB_ETAPA
TB_TERMO_CONFIDENCIALIDADE
TB_ACEITE_TERMO_CONFIDENCIALIDADE
TB_ARQUIVO
TB_DESEMPATE_CRITERIO</t>
  </si>
  <si>
    <t>Tipo de participante
Quetões disponíveis
Questão
Descrição questão
Tipo
Peso
Ordem
Qtd Critérios configurados
Qtd critérios selecionados
Ação</t>
  </si>
  <si>
    <t>Relatório de Inscrições Paradas</t>
  </si>
  <si>
    <t>Protocolo
Identificação
E-mail
Categoria
Modalidade
Tipo Participante
Enquadramento
UF
Status
% Preenchimento
Dias Parado
Data Início
Última Atualização
CNPJ
Razão social
Nome fantasia
Estado
Cidade
CEP
Endereço
Site
Redes sociais
Setor
CPF
Nome completo
E-mail
Gênero
Estado
Cidade
CEP
Endereço
Data de nascimento
Telefone
Telefone
Área
Cargo
Ação</t>
  </si>
  <si>
    <t>Premiação
Modalidade
Categoria
Tipo de Participante
Inscrição</t>
  </si>
  <si>
    <t>HU-037_Relatorio_Inscricoes_Em_Andamento.docx</t>
  </si>
  <si>
    <t>Exportar Relatório de Inscrições Paradas para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</si>
</sst>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 #,##0.00_-;\-&quot;R$&quot;\ * #,##0.00_-;_-&quot;R$&quot;\ * &quot;-&quot;??_-;_-@_-"/>
    <numFmt numFmtId="43" formatCode="_-* #,##0.00_-;\-* #,##0.00_-;_-* &quot;-&quot;??_-;_-@_-"/>
    <numFmt numFmtId="164" formatCode="_-* #,##0_-;\-* #,##0_-;_-* &quot;-&quot;??_-;_-@_-"/>
    <numFmt numFmtId="165" formatCode="0.0"/>
  </numFmts>
  <fonts count="52">
    <font>
      <sz val="10"/>
      <name val="Arial"/>
    </font>
    <font>
      <sz val="11"/>
      <color theme="1"/>
      <name val="Calibri"/>
      <family val="2"/>
      <scheme val="minor"/>
    </font>
    <font>
      <sz val="10"/>
      <name val="Arial"/>
      <family val="2"/>
    </font>
    <font>
      <b/>
      <sz val="10"/>
      <name val="Arial"/>
      <family val="2"/>
    </font>
    <font>
      <sz val="10"/>
      <name val="Arial"/>
      <family val="2"/>
    </font>
    <font>
      <sz val="11"/>
      <color indexed="9"/>
      <name val="Calibri"/>
      <family val="2"/>
    </font>
    <font>
      <sz val="11"/>
      <color indexed="8"/>
      <name val="Calibri"/>
      <family val="2"/>
    </font>
    <font>
      <sz val="11"/>
      <color indexed="16"/>
      <name val="Calibri"/>
      <family val="2"/>
    </font>
    <font>
      <b/>
      <sz val="11"/>
      <color indexed="53"/>
      <name val="Calibri"/>
      <family val="2"/>
    </font>
    <font>
      <b/>
      <sz val="11"/>
      <color indexed="9"/>
      <name val="Calibri"/>
      <family val="2"/>
    </font>
    <font>
      <b/>
      <sz val="11"/>
      <color indexed="8"/>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3"/>
      <name val="Calibri"/>
      <family val="2"/>
    </font>
    <font>
      <sz val="11"/>
      <color indexed="60"/>
      <name val="Calibri"/>
      <family val="2"/>
    </font>
    <font>
      <b/>
      <sz val="11"/>
      <color indexed="63"/>
      <name val="Calibri"/>
      <family val="2"/>
    </font>
    <font>
      <b/>
      <sz val="18"/>
      <color indexed="62"/>
      <name val="Cambria"/>
      <family val="2"/>
    </font>
    <font>
      <sz val="11"/>
      <color indexed="10"/>
      <name val="Calibri"/>
      <family val="2"/>
    </font>
    <font>
      <sz val="10"/>
      <color indexed="9"/>
      <name val="Arial"/>
      <family val="2"/>
    </font>
    <font>
      <b/>
      <sz val="12"/>
      <name val="Arial"/>
      <family val="2"/>
    </font>
    <font>
      <b/>
      <sz val="11"/>
      <name val="Verdana"/>
      <family val="2"/>
    </font>
    <font>
      <sz val="11"/>
      <name val="Arial"/>
      <family val="2"/>
    </font>
    <font>
      <b/>
      <sz val="18"/>
      <name val="Verdana"/>
      <family val="2"/>
    </font>
    <font>
      <sz val="10"/>
      <name val="Arial"/>
      <family val="2"/>
    </font>
    <font>
      <b/>
      <sz val="10"/>
      <name val="Verdana"/>
      <family val="2"/>
    </font>
    <font>
      <i/>
      <sz val="10"/>
      <name val="Verdana"/>
      <family val="2"/>
    </font>
    <font>
      <sz val="11"/>
      <color theme="1"/>
      <name val="Calibri"/>
      <family val="2"/>
      <scheme val="minor"/>
    </font>
    <font>
      <b/>
      <sz val="11"/>
      <name val="Calibri"/>
      <family val="2"/>
      <scheme val="minor"/>
    </font>
    <font>
      <sz val="12"/>
      <color theme="1"/>
      <name val="Calibri"/>
      <family val="2"/>
      <scheme val="minor"/>
    </font>
    <font>
      <b/>
      <sz val="12"/>
      <name val="Calibri"/>
      <family val="2"/>
      <scheme val="minor"/>
    </font>
    <font>
      <sz val="11"/>
      <name val="Calibri"/>
      <family val="2"/>
      <scheme val="minor"/>
    </font>
    <font>
      <b/>
      <sz val="16"/>
      <name val="Verdana"/>
      <family val="2"/>
    </font>
    <font>
      <b/>
      <sz val="11"/>
      <color theme="1"/>
      <name val="Calibri"/>
      <family val="2"/>
      <scheme val="minor"/>
    </font>
    <font>
      <b/>
      <sz val="10"/>
      <color theme="1"/>
      <name val="Calibri"/>
      <family val="2"/>
      <scheme val="minor"/>
    </font>
    <font>
      <b/>
      <sz val="14"/>
      <color theme="1"/>
      <name val="Calibri"/>
      <family val="2"/>
      <scheme val="minor"/>
    </font>
    <font>
      <sz val="12"/>
      <name val="Calibri"/>
      <family val="2"/>
      <scheme val="minor"/>
    </font>
    <font>
      <sz val="10"/>
      <name val="Calibri"/>
      <family val="2"/>
      <scheme val="minor"/>
    </font>
    <font>
      <b/>
      <sz val="10"/>
      <name val="Calibri"/>
      <family val="2"/>
      <scheme val="minor"/>
    </font>
    <font>
      <b/>
      <sz val="11"/>
      <color theme="0" tint="-0.249977111117893"/>
      <name val="Calibri"/>
      <family val="2"/>
      <scheme val="minor"/>
    </font>
    <font>
      <sz val="10"/>
      <name val="Verdana"/>
      <family val="2"/>
    </font>
    <font>
      <sz val="11"/>
      <name val="Calibri"/>
      <family val="2"/>
      <scheme val="minor"/>
    </font>
    <font>
      <b/>
      <sz val="12"/>
      <name val="Calibri"/>
      <family val="2"/>
      <scheme val="minor"/>
    </font>
    <font>
      <b/>
      <sz val="11"/>
      <name val="Calibri"/>
      <family val="2"/>
      <scheme val="minor"/>
    </font>
    <font>
      <b/>
      <sz val="7"/>
      <color rgb="FF231F20"/>
      <name val="TimesNewRomanPS-BoldMT"/>
    </font>
    <font>
      <sz val="7"/>
      <color rgb="FF231F20"/>
      <name val="Times New Roman"/>
      <family val="1"/>
    </font>
    <font>
      <sz val="14"/>
      <name val="Arial"/>
      <family val="2"/>
    </font>
    <font>
      <b/>
      <sz val="14"/>
      <color rgb="FF0070C0"/>
      <name val="Verdana"/>
      <family val="2"/>
    </font>
    <font>
      <sz val="10"/>
      <color rgb="FF231F20"/>
      <name val="Arial"/>
      <family val="2"/>
    </font>
    <font>
      <b/>
      <sz val="18"/>
      <color rgb="FFFF0000"/>
      <name val="Verdana"/>
      <family val="2"/>
    </font>
  </fonts>
  <fills count="30">
    <fill>
      <patternFill patternType="none"/>
    </fill>
    <fill>
      <patternFill patternType="gray125"/>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45"/>
        <bgColor indexed="4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3"/>
        <bgColor indexed="43"/>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6"/>
        <bgColor indexed="64"/>
      </patternFill>
    </fill>
    <fill>
      <patternFill patternType="solid">
        <fgColor theme="6" tint="0.79998168889431442"/>
        <bgColor indexed="64"/>
      </patternFill>
    </fill>
    <fill>
      <patternFill patternType="solid">
        <fgColor rgb="FFF2F2F2"/>
        <bgColor rgb="FF000000"/>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4"/>
      </bottom>
      <diagonal/>
    </border>
    <border>
      <left/>
      <right/>
      <top/>
      <bottom style="thick">
        <color indexed="22"/>
      </bottom>
      <diagonal/>
    </border>
    <border>
      <left/>
      <right/>
      <top/>
      <bottom style="medium">
        <color indexed="4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s>
  <cellStyleXfs count="64">
    <xf numFmtId="0" fontId="0" fillId="0" borderId="0"/>
    <xf numFmtId="0" fontId="5" fillId="2" borderId="0"/>
    <xf numFmtId="0" fontId="6" fillId="3" borderId="0"/>
    <xf numFmtId="0" fontId="6" fillId="3" borderId="0"/>
    <xf numFmtId="0" fontId="5" fillId="4" borderId="0"/>
    <xf numFmtId="0" fontId="21" fillId="2" borderId="0"/>
    <xf numFmtId="0" fontId="5" fillId="5" borderId="0"/>
    <xf numFmtId="0" fontId="6" fillId="6" borderId="0"/>
    <xf numFmtId="0" fontId="6" fillId="7" borderId="0"/>
    <xf numFmtId="0" fontId="5" fillId="8" borderId="0"/>
    <xf numFmtId="0" fontId="21" fillId="5" borderId="0"/>
    <xf numFmtId="0" fontId="5" fillId="8" borderId="0"/>
    <xf numFmtId="0" fontId="6" fillId="6" borderId="0"/>
    <xf numFmtId="0" fontId="6" fillId="9" borderId="0"/>
    <xf numFmtId="0" fontId="5" fillId="7" borderId="0"/>
    <xf numFmtId="0" fontId="21" fillId="8" borderId="0"/>
    <xf numFmtId="0" fontId="5" fillId="2" borderId="0"/>
    <xf numFmtId="0" fontId="6" fillId="3" borderId="0"/>
    <xf numFmtId="0" fontId="6" fillId="7" borderId="0"/>
    <xf numFmtId="0" fontId="5" fillId="7" borderId="0"/>
    <xf numFmtId="0" fontId="21" fillId="2" borderId="0"/>
    <xf numFmtId="0" fontId="5" fillId="10" borderId="0"/>
    <xf numFmtId="0" fontId="6" fillId="11" borderId="0"/>
    <xf numFmtId="0" fontId="6" fillId="3" borderId="0"/>
    <xf numFmtId="0" fontId="5" fillId="4" borderId="0"/>
    <xf numFmtId="0" fontId="21" fillId="10" borderId="0"/>
    <xf numFmtId="0" fontId="5" fillId="12" borderId="0"/>
    <xf numFmtId="0" fontId="6" fillId="6" borderId="0"/>
    <xf numFmtId="0" fontId="6" fillId="13" borderId="0"/>
    <xf numFmtId="0" fontId="5" fillId="13" borderId="0"/>
    <xf numFmtId="0" fontId="21" fillId="12" borderId="0"/>
    <xf numFmtId="0" fontId="7" fillId="14" borderId="0"/>
    <xf numFmtId="0" fontId="8" fillId="15" borderId="1"/>
    <xf numFmtId="0" fontId="9" fillId="8" borderId="2"/>
    <xf numFmtId="0" fontId="10" fillId="16" borderId="0"/>
    <xf numFmtId="0" fontId="10" fillId="17" borderId="0"/>
    <xf numFmtId="0" fontId="10" fillId="18" borderId="0"/>
    <xf numFmtId="0" fontId="11" fillId="9" borderId="0"/>
    <xf numFmtId="0" fontId="12" fillId="0" borderId="4"/>
    <xf numFmtId="0" fontId="13" fillId="0" borderId="5"/>
    <xf numFmtId="0" fontId="14" fillId="0" borderId="6"/>
    <xf numFmtId="0" fontId="14" fillId="0" borderId="0"/>
    <xf numFmtId="0" fontId="15" fillId="13" borderId="1"/>
    <xf numFmtId="0" fontId="16" fillId="0" borderId="3"/>
    <xf numFmtId="44" fontId="26" fillId="0" borderId="0"/>
    <xf numFmtId="0" fontId="17" fillId="19" borderId="0"/>
    <xf numFmtId="0" fontId="26" fillId="0" borderId="0"/>
    <xf numFmtId="0" fontId="29" fillId="0" borderId="0"/>
    <xf numFmtId="0" fontId="26" fillId="6" borderId="7"/>
    <xf numFmtId="0" fontId="18" fillId="15" borderId="8"/>
    <xf numFmtId="9" fontId="26" fillId="0" borderId="0"/>
    <xf numFmtId="9" fontId="29" fillId="0" borderId="0"/>
    <xf numFmtId="0" fontId="19" fillId="0" borderId="0"/>
    <xf numFmtId="43" fontId="26" fillId="0" borderId="0"/>
    <xf numFmtId="0" fontId="20" fillId="0" borderId="0"/>
    <xf numFmtId="0" fontId="26" fillId="0" borderId="0"/>
    <xf numFmtId="43" fontId="26" fillId="0" borderId="0"/>
    <xf numFmtId="44" fontId="26" fillId="0" borderId="0"/>
    <xf numFmtId="0" fontId="29" fillId="0" borderId="0"/>
    <xf numFmtId="0" fontId="26" fillId="6" borderId="7"/>
    <xf numFmtId="9" fontId="26" fillId="0" borderId="0"/>
    <xf numFmtId="9" fontId="29" fillId="0" borderId="0"/>
    <xf numFmtId="43" fontId="26" fillId="0" borderId="0"/>
    <xf numFmtId="43" fontId="26" fillId="0" borderId="0"/>
  </cellStyleXfs>
  <cellXfs count="394">
    <xf numFmtId="0" fontId="0" fillId="0" borderId="0" xfId="0"/>
    <xf numFmtId="0" fontId="0" fillId="0" borderId="0" xfId="0" applyAlignment="1">
      <alignment vertical="center"/>
    </xf>
    <xf numFmtId="0" fontId="2" fillId="20" borderId="9" xfId="0" applyFont="1" applyFill="1" applyBorder="1" applyAlignment="1">
      <alignment horizontal="center" vertical="center" wrapText="1"/>
    </xf>
    <xf numFmtId="0" fontId="2" fillId="0" borderId="9" xfId="0" applyFont="1" applyBorder="1"/>
    <xf numFmtId="0" fontId="0" fillId="0" borderId="9" xfId="0" applyBorder="1"/>
    <xf numFmtId="0" fontId="2" fillId="0" borderId="9" xfId="0" applyFont="1" applyBorder="1" applyAlignment="1">
      <alignment wrapText="1"/>
    </xf>
    <xf numFmtId="0" fontId="3" fillId="0" borderId="0" xfId="0" applyFont="1"/>
    <xf numFmtId="0" fontId="3" fillId="22" borderId="9" xfId="0" applyFont="1" applyFill="1" applyBorder="1" applyAlignment="1">
      <alignment horizontal="center"/>
    </xf>
    <xf numFmtId="0" fontId="0" fillId="23" borderId="0" xfId="0" applyFill="1" applyAlignment="1">
      <alignment horizontal="center"/>
    </xf>
    <xf numFmtId="0" fontId="30" fillId="22" borderId="9" xfId="0" applyFont="1" applyFill="1" applyBorder="1" applyAlignment="1">
      <alignment horizontal="center" vertical="center" wrapText="1"/>
    </xf>
    <xf numFmtId="9" fontId="26" fillId="22" borderId="9" xfId="50" applyFill="1" applyBorder="1"/>
    <xf numFmtId="0" fontId="30" fillId="22" borderId="9" xfId="0" applyFont="1" applyFill="1" applyBorder="1" applyAlignment="1">
      <alignment horizontal="center" vertical="center"/>
    </xf>
    <xf numFmtId="0" fontId="3" fillId="0" borderId="9" xfId="0" applyFont="1" applyBorder="1"/>
    <xf numFmtId="0" fontId="3" fillId="24" borderId="9" xfId="0" applyFont="1" applyFill="1" applyBorder="1" applyAlignment="1">
      <alignment horizontal="center" vertical="center"/>
    </xf>
    <xf numFmtId="0" fontId="0" fillId="0" borderId="9" xfId="0" applyBorder="1" applyAlignment="1">
      <alignment horizontal="center"/>
    </xf>
    <xf numFmtId="0" fontId="3" fillId="20" borderId="9" xfId="0" applyFont="1" applyFill="1" applyBorder="1" applyAlignment="1">
      <alignment horizontal="center" vertical="center" wrapText="1"/>
    </xf>
    <xf numFmtId="0" fontId="3" fillId="24" borderId="9" xfId="0" applyFont="1" applyFill="1" applyBorder="1" applyAlignment="1">
      <alignment horizontal="center" vertical="center" wrapText="1"/>
    </xf>
    <xf numFmtId="0" fontId="0" fillId="0" borderId="0" xfId="0" applyAlignment="1">
      <alignment wrapText="1"/>
    </xf>
    <xf numFmtId="0" fontId="28" fillId="0" borderId="15" xfId="0" applyFont="1" applyBorder="1" applyAlignment="1" applyProtection="1">
      <alignment horizontal="left" indent="1"/>
      <protection hidden="1"/>
    </xf>
    <xf numFmtId="0" fontId="25" fillId="0" borderId="0" xfId="0" applyFont="1" applyAlignment="1">
      <alignment vertical="center"/>
    </xf>
    <xf numFmtId="0" fontId="28" fillId="0" borderId="15" xfId="0" applyFont="1" applyBorder="1" applyAlignment="1" applyProtection="1">
      <alignment horizontal="left" indent="1"/>
      <protection locked="0" hidden="1"/>
    </xf>
    <xf numFmtId="0" fontId="0" fillId="0" borderId="0" xfId="0" applyAlignment="1" applyProtection="1">
      <alignment vertical="center"/>
      <protection locked="0"/>
    </xf>
    <xf numFmtId="0" fontId="28" fillId="0" borderId="0" xfId="0" applyFont="1" applyAlignment="1" applyProtection="1">
      <alignment horizontal="left" vertical="center" indent="2"/>
      <protection locked="0"/>
    </xf>
    <xf numFmtId="0" fontId="25" fillId="0" borderId="0" xfId="0" applyFont="1" applyAlignment="1" applyProtection="1">
      <alignment horizontal="center" vertical="center"/>
      <protection locked="0"/>
    </xf>
    <xf numFmtId="49" fontId="25" fillId="0" borderId="0" xfId="0" applyNumberFormat="1" applyFont="1" applyAlignment="1" applyProtection="1">
      <alignment horizontal="center" vertical="center"/>
      <protection locked="0"/>
    </xf>
    <xf numFmtId="0" fontId="25" fillId="23" borderId="9" xfId="0" applyFont="1" applyFill="1" applyBorder="1" applyAlignment="1" applyProtection="1">
      <alignment horizontal="center" vertical="center"/>
      <protection locked="0"/>
    </xf>
    <xf numFmtId="0" fontId="25" fillId="0" borderId="15" xfId="0" applyFont="1" applyBorder="1" applyAlignment="1" applyProtection="1">
      <alignment horizontal="right" vertical="center" wrapText="1"/>
      <protection locked="0"/>
    </xf>
    <xf numFmtId="0" fontId="25" fillId="0" borderId="0" xfId="0" applyFont="1" applyAlignment="1" applyProtection="1">
      <alignment vertical="center"/>
      <protection locked="0"/>
    </xf>
    <xf numFmtId="0" fontId="23" fillId="0" borderId="0" xfId="0" applyFont="1" applyAlignment="1" applyProtection="1">
      <alignment vertical="center"/>
      <protection locked="0"/>
    </xf>
    <xf numFmtId="0" fontId="23" fillId="21" borderId="9" xfId="0" applyFont="1" applyFill="1" applyBorder="1" applyAlignment="1" applyProtection="1">
      <alignment horizontal="right" vertical="center"/>
      <protection locked="0"/>
    </xf>
    <xf numFmtId="0" fontId="0" fillId="0" borderId="15" xfId="0" applyBorder="1" applyAlignment="1" applyProtection="1">
      <alignment vertical="center"/>
      <protection locked="0"/>
    </xf>
    <xf numFmtId="0" fontId="25" fillId="0" borderId="0" xfId="0" applyFont="1" applyAlignment="1" applyProtection="1">
      <alignment vertical="center" wrapText="1"/>
      <protection locked="0"/>
    </xf>
    <xf numFmtId="0" fontId="28" fillId="0" borderId="16" xfId="0" applyFont="1" applyBorder="1" applyAlignment="1" applyProtection="1">
      <alignment horizontal="left" vertical="center" indent="2"/>
      <protection locked="0"/>
    </xf>
    <xf numFmtId="0" fontId="0" fillId="0" borderId="15" xfId="0" applyBorder="1" applyAlignment="1" applyProtection="1">
      <alignment horizontal="center" vertical="center"/>
      <protection locked="0"/>
    </xf>
    <xf numFmtId="0" fontId="0" fillId="0" borderId="0" xfId="0" applyAlignment="1" applyProtection="1">
      <alignment horizontal="center" vertical="center"/>
      <protection locked="0"/>
    </xf>
    <xf numFmtId="0" fontId="3" fillId="22" borderId="9" xfId="0" applyFont="1" applyFill="1" applyBorder="1" applyAlignment="1" applyProtection="1">
      <alignment horizontal="center" vertical="center"/>
      <protection locked="0"/>
    </xf>
    <xf numFmtId="0" fontId="0" fillId="0" borderId="9" xfId="0" applyBorder="1" applyAlignment="1" applyProtection="1">
      <alignment horizontal="center" vertical="center"/>
      <protection locked="0"/>
    </xf>
    <xf numFmtId="2" fontId="0" fillId="0" borderId="9" xfId="0" applyNumberForma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0" fontId="2" fillId="0" borderId="9" xfId="0" applyFont="1" applyBorder="1" applyAlignment="1" applyProtection="1">
      <alignment horizontal="center" vertical="center" wrapText="1"/>
      <protection locked="0"/>
    </xf>
    <xf numFmtId="0" fontId="0" fillId="0" borderId="11" xfId="0" applyBorder="1" applyAlignment="1" applyProtection="1">
      <alignment vertical="center"/>
      <protection locked="0"/>
    </xf>
    <xf numFmtId="0" fontId="23" fillId="0" borderId="11" xfId="0" applyFont="1" applyBorder="1" applyAlignment="1" applyProtection="1">
      <alignment horizontal="center" vertical="center"/>
      <protection locked="0"/>
    </xf>
    <xf numFmtId="0" fontId="22" fillId="0" borderId="0" xfId="0" applyFont="1" applyAlignment="1" applyProtection="1">
      <alignment vertical="center"/>
      <protection locked="0"/>
    </xf>
    <xf numFmtId="0" fontId="22" fillId="0" borderId="0" xfId="0" applyFont="1" applyAlignment="1" applyProtection="1">
      <alignment horizontal="center" vertical="center"/>
      <protection locked="0"/>
    </xf>
    <xf numFmtId="0" fontId="2" fillId="20" borderId="9" xfId="0" applyFont="1" applyFill="1" applyBorder="1" applyAlignment="1" applyProtection="1">
      <alignment horizontal="center" vertical="center" wrapText="1"/>
      <protection locked="0"/>
    </xf>
    <xf numFmtId="0" fontId="2" fillId="20" borderId="9" xfId="0" applyFont="1" applyFill="1" applyBorder="1" applyAlignment="1" applyProtection="1">
      <alignment vertical="center" wrapText="1"/>
      <protection locked="0"/>
    </xf>
    <xf numFmtId="0" fontId="24" fillId="0" borderId="0" xfId="0" applyFont="1" applyAlignment="1" applyProtection="1">
      <alignment vertical="center"/>
      <protection locked="0"/>
    </xf>
    <xf numFmtId="0" fontId="2" fillId="0" borderId="9" xfId="0" applyFont="1" applyBorder="1" applyAlignment="1" applyProtection="1">
      <alignment vertical="center" wrapText="1"/>
      <protection locked="0"/>
    </xf>
    <xf numFmtId="0" fontId="2" fillId="0" borderId="0" xfId="0" applyFont="1" applyAlignment="1" applyProtection="1">
      <alignment horizontal="center" vertical="center"/>
      <protection locked="0"/>
    </xf>
    <xf numFmtId="0" fontId="2" fillId="0" borderId="0" xfId="0" applyFont="1" applyAlignment="1" applyProtection="1">
      <alignment horizontal="center" vertical="center" wrapText="1"/>
      <protection locked="0"/>
    </xf>
    <xf numFmtId="0" fontId="3" fillId="0" borderId="10" xfId="0" applyFont="1" applyBorder="1" applyAlignment="1" applyProtection="1">
      <alignment horizontal="center" vertical="center"/>
      <protection locked="0"/>
    </xf>
    <xf numFmtId="0" fontId="3" fillId="0" borderId="0" xfId="0" applyFont="1" applyAlignment="1" applyProtection="1">
      <alignment horizontal="center" vertical="center" wrapText="1"/>
      <protection locked="0"/>
    </xf>
    <xf numFmtId="0" fontId="3" fillId="0" borderId="0" xfId="0" applyFont="1" applyAlignment="1" applyProtection="1">
      <alignment vertical="center" wrapText="1"/>
      <protection locked="0"/>
    </xf>
    <xf numFmtId="0" fontId="0" fillId="0" borderId="0" xfId="0" applyAlignment="1" applyProtection="1">
      <alignment horizontal="center" vertical="center" wrapText="1"/>
      <protection locked="0"/>
    </xf>
    <xf numFmtId="0" fontId="4" fillId="0" borderId="0" xfId="0" applyFont="1" applyAlignment="1" applyProtection="1">
      <alignment vertical="center" wrapText="1"/>
      <protection locked="0"/>
    </xf>
    <xf numFmtId="0" fontId="23" fillId="0" borderId="0" xfId="0" applyFont="1" applyAlignment="1" applyProtection="1">
      <alignment horizontal="center" vertical="center"/>
      <protection locked="0"/>
    </xf>
    <xf numFmtId="0" fontId="2" fillId="0" borderId="9" xfId="0" applyFont="1" applyBorder="1" applyAlignment="1" applyProtection="1">
      <alignment horizontal="left" vertical="center"/>
      <protection locked="0"/>
    </xf>
    <xf numFmtId="0" fontId="2" fillId="20" borderId="9" xfId="0" applyFont="1" applyFill="1" applyBorder="1" applyAlignment="1" applyProtection="1">
      <alignment horizontal="center" vertical="center"/>
      <protection locked="0"/>
    </xf>
    <xf numFmtId="0" fontId="2" fillId="0" borderId="0" xfId="0" applyFont="1" applyAlignment="1" applyProtection="1">
      <alignment vertical="center"/>
      <protection locked="0"/>
    </xf>
    <xf numFmtId="0" fontId="2" fillId="0" borderId="0" xfId="0" applyFont="1" applyAlignment="1" applyProtection="1">
      <alignment vertical="center" wrapText="1"/>
      <protection locked="0"/>
    </xf>
    <xf numFmtId="44" fontId="24" fillId="0" borderId="0" xfId="44" applyFont="1" applyAlignment="1" applyProtection="1">
      <alignment vertical="center"/>
      <protection locked="0"/>
    </xf>
    <xf numFmtId="0" fontId="3" fillId="0" borderId="0" xfId="0" applyFont="1" applyAlignment="1" applyProtection="1">
      <alignment horizontal="center" vertical="center"/>
      <protection locked="0"/>
    </xf>
    <xf numFmtId="0" fontId="0" fillId="0" borderId="0" xfId="0" applyProtection="1">
      <protection locked="0"/>
    </xf>
    <xf numFmtId="0" fontId="31" fillId="0" borderId="0" xfId="0" applyFont="1" applyProtection="1">
      <protection locked="0"/>
    </xf>
    <xf numFmtId="164" fontId="0" fillId="0" borderId="0" xfId="53" applyNumberFormat="1" applyFont="1" applyProtection="1">
      <protection locked="0"/>
    </xf>
    <xf numFmtId="164" fontId="26" fillId="0" borderId="0" xfId="53" applyNumberFormat="1" applyProtection="1">
      <protection locked="0"/>
    </xf>
    <xf numFmtId="164" fontId="31" fillId="0" borderId="0" xfId="53" applyNumberFormat="1" applyFont="1" applyProtection="1">
      <protection locked="0"/>
    </xf>
    <xf numFmtId="0" fontId="3" fillId="21" borderId="10" xfId="0" applyFont="1" applyFill="1" applyBorder="1" applyAlignment="1" applyProtection="1">
      <alignment horizontal="center" vertical="center" wrapText="1"/>
      <protection locked="0"/>
    </xf>
    <xf numFmtId="0" fontId="0" fillId="0" borderId="0" xfId="0" applyAlignment="1" applyProtection="1">
      <alignment horizontal="center"/>
      <protection locked="0"/>
    </xf>
    <xf numFmtId="164" fontId="31" fillId="0" borderId="0" xfId="53" applyNumberFormat="1" applyFont="1" applyAlignment="1" applyProtection="1">
      <alignment horizontal="center"/>
      <protection locked="0"/>
    </xf>
    <xf numFmtId="164" fontId="0" fillId="0" borderId="0" xfId="53" applyNumberFormat="1" applyFont="1" applyAlignment="1" applyProtection="1">
      <alignment horizontal="center"/>
      <protection locked="0"/>
    </xf>
    <xf numFmtId="164" fontId="26" fillId="0" borderId="0" xfId="53" applyNumberFormat="1" applyAlignment="1" applyProtection="1">
      <alignment horizontal="center"/>
      <protection locked="0"/>
    </xf>
    <xf numFmtId="9" fontId="1" fillId="24" borderId="9" xfId="50" applyFont="1" applyFill="1" applyBorder="1" applyAlignment="1">
      <alignment horizontal="center" vertical="center"/>
    </xf>
    <xf numFmtId="0" fontId="33" fillId="0" borderId="0" xfId="0" applyFont="1"/>
    <xf numFmtId="0" fontId="33" fillId="0" borderId="0" xfId="0" applyFont="1" applyProtection="1">
      <protection locked="0"/>
    </xf>
    <xf numFmtId="0" fontId="35" fillId="26" borderId="28" xfId="0" applyFont="1" applyFill="1" applyBorder="1" applyAlignment="1">
      <alignment horizontal="center" vertical="center" wrapText="1"/>
    </xf>
    <xf numFmtId="0" fontId="35" fillId="26" borderId="32" xfId="0" applyFont="1" applyFill="1" applyBorder="1" applyAlignment="1">
      <alignment horizontal="center" vertical="center" wrapText="1"/>
    </xf>
    <xf numFmtId="164" fontId="33" fillId="0" borderId="0" xfId="0" applyNumberFormat="1" applyFont="1"/>
    <xf numFmtId="0" fontId="33" fillId="0" borderId="0" xfId="0" applyFont="1" applyAlignment="1" applyProtection="1">
      <alignment horizontal="center"/>
      <protection locked="0"/>
    </xf>
    <xf numFmtId="9" fontId="1" fillId="22" borderId="36" xfId="51" applyFont="1" applyFill="1" applyBorder="1"/>
    <xf numFmtId="164" fontId="1" fillId="22" borderId="37" xfId="56" applyNumberFormat="1" applyFont="1" applyFill="1" applyBorder="1"/>
    <xf numFmtId="9" fontId="1" fillId="22" borderId="41" xfId="51" applyFont="1" applyFill="1" applyBorder="1"/>
    <xf numFmtId="164" fontId="1" fillId="22" borderId="52" xfId="56" applyNumberFormat="1" applyFont="1" applyFill="1" applyBorder="1"/>
    <xf numFmtId="164" fontId="38" fillId="26" borderId="41" xfId="51" applyNumberFormat="1" applyFont="1" applyFill="1" applyBorder="1" applyAlignment="1">
      <alignment horizontal="center" vertical="center"/>
    </xf>
    <xf numFmtId="165" fontId="38" fillId="26" borderId="52" xfId="51" applyNumberFormat="1" applyFont="1" applyFill="1" applyBorder="1" applyAlignment="1">
      <alignment vertical="center"/>
    </xf>
    <xf numFmtId="164" fontId="0" fillId="21" borderId="9" xfId="53" applyNumberFormat="1" applyFont="1" applyFill="1" applyBorder="1"/>
    <xf numFmtId="164" fontId="0" fillId="21" borderId="37" xfId="53" applyNumberFormat="1" applyFont="1" applyFill="1" applyBorder="1"/>
    <xf numFmtId="164" fontId="0" fillId="21" borderId="42" xfId="53" applyNumberFormat="1" applyFont="1" applyFill="1" applyBorder="1"/>
    <xf numFmtId="164" fontId="0" fillId="21" borderId="52" xfId="53" applyNumberFormat="1" applyFont="1" applyFill="1" applyBorder="1"/>
    <xf numFmtId="164" fontId="0" fillId="26" borderId="9" xfId="53" applyNumberFormat="1" applyFont="1" applyFill="1" applyBorder="1"/>
    <xf numFmtId="164" fontId="0" fillId="26" borderId="37" xfId="53" applyNumberFormat="1" applyFont="1" applyFill="1" applyBorder="1"/>
    <xf numFmtId="9" fontId="33" fillId="21" borderId="9" xfId="50" applyFont="1" applyFill="1" applyBorder="1" applyAlignment="1">
      <alignment horizontal="center" vertical="center"/>
    </xf>
    <xf numFmtId="9" fontId="30" fillId="21" borderId="42" xfId="50" applyFont="1" applyFill="1" applyBorder="1" applyAlignment="1">
      <alignment horizontal="center" vertical="center"/>
    </xf>
    <xf numFmtId="164" fontId="33" fillId="21" borderId="9" xfId="53" applyNumberFormat="1" applyFont="1" applyFill="1" applyBorder="1" applyAlignment="1">
      <alignment horizontal="left" vertical="center"/>
    </xf>
    <xf numFmtId="14" fontId="33" fillId="21" borderId="9" xfId="0" applyNumberFormat="1" applyFont="1" applyFill="1" applyBorder="1" applyAlignment="1">
      <alignment horizontal="center"/>
    </xf>
    <xf numFmtId="14" fontId="33" fillId="21" borderId="37" xfId="0" applyNumberFormat="1" applyFont="1" applyFill="1" applyBorder="1" applyAlignment="1">
      <alignment horizontal="center"/>
    </xf>
    <xf numFmtId="0" fontId="33" fillId="21" borderId="9" xfId="55" applyFont="1" applyFill="1" applyBorder="1" applyAlignment="1">
      <alignment horizontal="center" vertical="center"/>
    </xf>
    <xf numFmtId="164" fontId="30" fillId="21" borderId="21" xfId="55" applyNumberFormat="1" applyFont="1" applyFill="1" applyBorder="1" applyAlignment="1">
      <alignment horizontal="center"/>
    </xf>
    <xf numFmtId="14" fontId="33" fillId="21" borderId="10" xfId="55" applyNumberFormat="1" applyFont="1" applyFill="1" applyBorder="1" applyAlignment="1">
      <alignment horizontal="center"/>
    </xf>
    <xf numFmtId="14" fontId="33" fillId="21" borderId="53" xfId="55" applyNumberFormat="1" applyFont="1" applyFill="1" applyBorder="1" applyAlignment="1">
      <alignment horizontal="center"/>
    </xf>
    <xf numFmtId="164" fontId="30" fillId="21" borderId="18" xfId="55" applyNumberFormat="1" applyFont="1" applyFill="1" applyBorder="1" applyAlignment="1">
      <alignment horizontal="center"/>
    </xf>
    <xf numFmtId="14" fontId="33" fillId="21" borderId="9" xfId="55" applyNumberFormat="1" applyFont="1" applyFill="1" applyBorder="1" applyAlignment="1">
      <alignment horizontal="center" vertical="center"/>
    </xf>
    <xf numFmtId="14" fontId="33" fillId="21" borderId="37" xfId="55" applyNumberFormat="1" applyFont="1" applyFill="1" applyBorder="1" applyAlignment="1">
      <alignment horizontal="center"/>
    </xf>
    <xf numFmtId="164" fontId="30" fillId="21" borderId="51" xfId="55" applyNumberFormat="1" applyFont="1" applyFill="1" applyBorder="1" applyAlignment="1">
      <alignment horizontal="center"/>
    </xf>
    <xf numFmtId="14" fontId="33" fillId="21" borderId="42" xfId="55" applyNumberFormat="1" applyFont="1" applyFill="1" applyBorder="1" applyAlignment="1">
      <alignment horizontal="center" vertical="center"/>
    </xf>
    <xf numFmtId="14" fontId="33" fillId="21" borderId="52" xfId="55" applyNumberFormat="1" applyFont="1" applyFill="1" applyBorder="1" applyAlignment="1">
      <alignment horizontal="center"/>
    </xf>
    <xf numFmtId="1" fontId="33" fillId="21" borderId="33" xfId="51" applyNumberFormat="1" applyFont="1" applyFill="1" applyBorder="1" applyAlignment="1">
      <alignment horizontal="right" vertical="center"/>
    </xf>
    <xf numFmtId="0" fontId="35" fillId="24" borderId="42" xfId="0" applyFont="1" applyFill="1" applyBorder="1" applyAlignment="1">
      <alignment horizontal="right"/>
    </xf>
    <xf numFmtId="0" fontId="30" fillId="24" borderId="9" xfId="0" applyFont="1" applyFill="1" applyBorder="1" applyAlignment="1">
      <alignment horizontal="center" vertical="center"/>
    </xf>
    <xf numFmtId="0" fontId="30" fillId="24" borderId="37" xfId="0" applyFont="1" applyFill="1" applyBorder="1" applyAlignment="1">
      <alignment horizontal="center" vertical="center"/>
    </xf>
    <xf numFmtId="0" fontId="40" fillId="24" borderId="9" xfId="55" applyFont="1" applyFill="1" applyBorder="1" applyAlignment="1">
      <alignment horizontal="center" vertical="center" wrapText="1"/>
    </xf>
    <xf numFmtId="0" fontId="40" fillId="24" borderId="37" xfId="55" applyFont="1" applyFill="1" applyBorder="1" applyAlignment="1">
      <alignment horizontal="center" vertical="center" wrapText="1"/>
    </xf>
    <xf numFmtId="0" fontId="35" fillId="24" borderId="36" xfId="55" applyFont="1" applyFill="1" applyBorder="1" applyAlignment="1">
      <alignment horizontal="center" vertical="center"/>
    </xf>
    <xf numFmtId="0" fontId="30" fillId="24" borderId="54" xfId="55" applyFont="1" applyFill="1" applyBorder="1" applyAlignment="1">
      <alignment horizontal="center"/>
    </xf>
    <xf numFmtId="0" fontId="30" fillId="24" borderId="55" xfId="55" applyFont="1" applyFill="1" applyBorder="1" applyAlignment="1">
      <alignment horizontal="center"/>
    </xf>
    <xf numFmtId="0" fontId="30" fillId="24" borderId="56" xfId="55" applyFont="1" applyFill="1" applyBorder="1" applyAlignment="1">
      <alignment horizontal="center"/>
    </xf>
    <xf numFmtId="0" fontId="30" fillId="24" borderId="57" xfId="55" applyFont="1" applyFill="1" applyBorder="1" applyAlignment="1">
      <alignment horizontal="center"/>
    </xf>
    <xf numFmtId="0" fontId="30" fillId="24" borderId="48" xfId="55" applyFont="1" applyFill="1" applyBorder="1" applyAlignment="1">
      <alignment horizontal="center"/>
    </xf>
    <xf numFmtId="9" fontId="30" fillId="24" borderId="21" xfId="55" applyNumberFormat="1" applyFont="1" applyFill="1" applyBorder="1" applyAlignment="1">
      <alignment horizontal="center"/>
    </xf>
    <xf numFmtId="0" fontId="30" fillId="24" borderId="36" xfId="55" applyFont="1" applyFill="1" applyBorder="1" applyAlignment="1">
      <alignment horizontal="center" vertical="center"/>
    </xf>
    <xf numFmtId="9" fontId="30" fillId="24" borderId="18" xfId="55" applyNumberFormat="1" applyFont="1" applyFill="1" applyBorder="1" applyAlignment="1">
      <alignment horizontal="center"/>
    </xf>
    <xf numFmtId="0" fontId="30" fillId="24" borderId="41" xfId="55" applyFont="1" applyFill="1" applyBorder="1" applyAlignment="1">
      <alignment horizontal="center" vertical="center"/>
    </xf>
    <xf numFmtId="9" fontId="30" fillId="24" borderId="51" xfId="55" applyNumberFormat="1" applyFont="1" applyFill="1" applyBorder="1" applyAlignment="1">
      <alignment horizontal="center"/>
    </xf>
    <xf numFmtId="0" fontId="30" fillId="24" borderId="33" xfId="55" applyFont="1" applyFill="1" applyBorder="1" applyAlignment="1">
      <alignment horizontal="center" wrapText="1"/>
    </xf>
    <xf numFmtId="0" fontId="30" fillId="24" borderId="35" xfId="55" applyFont="1" applyFill="1" applyBorder="1" applyAlignment="1">
      <alignment horizontal="center" wrapText="1"/>
    </xf>
    <xf numFmtId="164" fontId="41" fillId="24" borderId="41" xfId="50" applyNumberFormat="1" applyFont="1" applyFill="1" applyBorder="1" applyAlignment="1">
      <alignment horizontal="left" vertical="center"/>
    </xf>
    <xf numFmtId="0" fontId="30" fillId="25" borderId="46" xfId="0" applyFont="1" applyFill="1" applyBorder="1" applyAlignment="1">
      <alignment horizontal="center"/>
    </xf>
    <xf numFmtId="0" fontId="30" fillId="25" borderId="60" xfId="0" applyFont="1" applyFill="1" applyBorder="1" applyAlignment="1">
      <alignment horizontal="center"/>
    </xf>
    <xf numFmtId="0" fontId="3" fillId="25" borderId="33" xfId="0" applyFont="1" applyFill="1" applyBorder="1" applyAlignment="1">
      <alignment horizontal="center" vertical="center" wrapText="1"/>
    </xf>
    <xf numFmtId="0" fontId="3" fillId="25" borderId="34" xfId="0" applyFont="1" applyFill="1" applyBorder="1" applyAlignment="1">
      <alignment horizontal="center" vertical="center" wrapText="1"/>
    </xf>
    <xf numFmtId="0" fontId="3" fillId="25" borderId="35" xfId="0" applyFont="1" applyFill="1" applyBorder="1" applyAlignment="1">
      <alignment horizontal="center" vertical="center" wrapText="1"/>
    </xf>
    <xf numFmtId="9" fontId="0" fillId="21" borderId="36" xfId="51" applyFont="1" applyFill="1" applyBorder="1"/>
    <xf numFmtId="9" fontId="0" fillId="21" borderId="41" xfId="51" applyFont="1" applyFill="1" applyBorder="1"/>
    <xf numFmtId="2" fontId="33" fillId="21" borderId="48" xfId="51" applyNumberFormat="1" applyFont="1" applyFill="1" applyBorder="1" applyAlignment="1">
      <alignment horizontal="right" vertical="center"/>
    </xf>
    <xf numFmtId="2" fontId="33" fillId="21" borderId="53" xfId="51" applyNumberFormat="1" applyFont="1" applyFill="1" applyBorder="1" applyAlignment="1">
      <alignment horizontal="right" vertical="center"/>
    </xf>
    <xf numFmtId="1" fontId="33" fillId="21" borderId="35" xfId="51" applyNumberFormat="1" applyFont="1" applyFill="1" applyBorder="1" applyAlignment="1">
      <alignment horizontal="right" vertical="center"/>
    </xf>
    <xf numFmtId="0" fontId="28" fillId="0" borderId="0" xfId="0" applyFont="1" applyProtection="1">
      <protection locked="0"/>
    </xf>
    <xf numFmtId="0" fontId="2" fillId="20" borderId="17" xfId="0" applyFont="1" applyFill="1" applyBorder="1" applyAlignment="1" applyProtection="1">
      <alignment horizontal="center" vertical="center" wrapText="1"/>
      <protection locked="0"/>
    </xf>
    <xf numFmtId="0" fontId="42" fillId="0" borderId="0" xfId="0" applyFont="1" applyProtection="1">
      <protection locked="0" hidden="1"/>
    </xf>
    <xf numFmtId="0" fontId="43" fillId="0" borderId="0" xfId="0" applyFont="1" applyAlignment="1" applyProtection="1">
      <alignment vertical="center"/>
      <protection locked="0"/>
    </xf>
    <xf numFmtId="0" fontId="45" fillId="0" borderId="9" xfId="0" applyFont="1" applyBorder="1" applyAlignment="1" applyProtection="1">
      <alignment horizontal="left" vertical="center"/>
      <protection locked="0"/>
    </xf>
    <xf numFmtId="0" fontId="43" fillId="21" borderId="9" xfId="0" applyFont="1" applyFill="1" applyBorder="1" applyAlignment="1">
      <alignment horizontal="center" vertical="center"/>
    </xf>
    <xf numFmtId="9" fontId="43" fillId="0" borderId="10" xfId="50" applyFont="1" applyBorder="1" applyAlignment="1" applyProtection="1">
      <alignment horizontal="center" vertical="center"/>
      <protection locked="0"/>
    </xf>
    <xf numFmtId="9" fontId="44" fillId="21" borderId="9" xfId="50" applyFont="1" applyFill="1" applyBorder="1" applyAlignment="1">
      <alignment horizontal="center" vertical="center"/>
    </xf>
    <xf numFmtId="0" fontId="44" fillId="0" borderId="0" xfId="0" applyFont="1" applyAlignment="1" applyProtection="1">
      <alignment horizontal="right" vertical="center"/>
      <protection locked="0"/>
    </xf>
    <xf numFmtId="9" fontId="44" fillId="0" borderId="0" xfId="50" applyFont="1" applyAlignment="1" applyProtection="1">
      <alignment horizontal="center" vertical="center"/>
      <protection locked="0"/>
    </xf>
    <xf numFmtId="2" fontId="44" fillId="0" borderId="9" xfId="0" applyNumberFormat="1" applyFont="1" applyBorder="1" applyAlignment="1" applyProtection="1">
      <alignment horizontal="center" vertical="center"/>
      <protection locked="0"/>
    </xf>
    <xf numFmtId="2" fontId="44" fillId="21" borderId="9" xfId="0" applyNumberFormat="1" applyFont="1" applyFill="1" applyBorder="1" applyAlignment="1">
      <alignment horizontal="center" vertical="center"/>
    </xf>
    <xf numFmtId="0" fontId="3" fillId="21" borderId="9" xfId="0" applyFont="1" applyFill="1" applyBorder="1" applyAlignment="1" applyProtection="1">
      <alignment horizontal="right" vertical="center"/>
      <protection locked="0"/>
    </xf>
    <xf numFmtId="0" fontId="2" fillId="21" borderId="9" xfId="0" applyFont="1" applyFill="1" applyBorder="1" applyAlignment="1">
      <alignment horizontal="center" vertical="center" wrapText="1"/>
    </xf>
    <xf numFmtId="0" fontId="3" fillId="21" borderId="9" xfId="0" applyFont="1" applyFill="1" applyBorder="1" applyAlignment="1">
      <alignment vertical="center"/>
    </xf>
    <xf numFmtId="2" fontId="2" fillId="21" borderId="9" xfId="0" applyNumberFormat="1" applyFont="1" applyFill="1" applyBorder="1" applyAlignment="1">
      <alignment horizontal="center" vertical="center" wrapText="1"/>
    </xf>
    <xf numFmtId="2" fontId="43" fillId="21" borderId="9" xfId="0" applyNumberFormat="1" applyFont="1" applyFill="1" applyBorder="1" applyAlignment="1">
      <alignment horizontal="center" vertical="center"/>
    </xf>
    <xf numFmtId="0" fontId="3" fillId="22" borderId="14" xfId="0" applyFont="1" applyFill="1" applyBorder="1" applyAlignment="1" applyProtection="1">
      <alignment horizontal="center" vertical="center" wrapText="1"/>
      <protection locked="0"/>
    </xf>
    <xf numFmtId="0" fontId="3" fillId="22" borderId="9" xfId="0" applyFont="1" applyFill="1" applyBorder="1" applyAlignment="1" applyProtection="1">
      <alignment horizontal="center" vertical="center" wrapText="1"/>
      <protection locked="0"/>
    </xf>
    <xf numFmtId="0" fontId="2" fillId="21" borderId="9" xfId="0" applyFont="1" applyFill="1" applyBorder="1" applyAlignment="1">
      <alignment horizontal="center" vertical="center"/>
    </xf>
    <xf numFmtId="0" fontId="2" fillId="20" borderId="9" xfId="0" applyFont="1" applyFill="1" applyBorder="1" applyAlignment="1">
      <alignment horizontal="center" vertical="center"/>
    </xf>
    <xf numFmtId="0" fontId="2" fillId="20" borderId="9" xfId="0" applyFont="1" applyFill="1" applyBorder="1" applyAlignment="1">
      <alignment vertical="center" wrapText="1"/>
    </xf>
    <xf numFmtId="0" fontId="3" fillId="21" borderId="10" xfId="0" applyFont="1" applyFill="1" applyBorder="1" applyAlignment="1">
      <alignment horizontal="center" vertical="center"/>
    </xf>
    <xf numFmtId="0" fontId="3" fillId="22" borderId="10" xfId="0" applyFont="1" applyFill="1" applyBorder="1" applyAlignment="1" applyProtection="1">
      <alignment horizontal="center" vertical="center" wrapText="1"/>
      <protection locked="0"/>
    </xf>
    <xf numFmtId="0" fontId="3" fillId="22" borderId="13" xfId="0" applyFont="1" applyFill="1" applyBorder="1" applyAlignment="1" applyProtection="1">
      <alignment horizontal="center" vertical="center" wrapText="1"/>
      <protection locked="0"/>
    </xf>
    <xf numFmtId="0" fontId="3" fillId="22" borderId="17" xfId="0" applyFont="1" applyFill="1" applyBorder="1" applyAlignment="1" applyProtection="1">
      <alignment horizontal="center" vertical="center"/>
      <protection locked="0"/>
    </xf>
    <xf numFmtId="0" fontId="3" fillId="22" borderId="18" xfId="0" applyFont="1" applyFill="1" applyBorder="1" applyAlignment="1" applyProtection="1">
      <alignment horizontal="center" vertical="center"/>
      <protection locked="0"/>
    </xf>
    <xf numFmtId="0" fontId="3" fillId="22" borderId="11" xfId="0" applyFont="1" applyFill="1" applyBorder="1" applyAlignment="1" applyProtection="1">
      <alignment vertical="center"/>
      <protection locked="0"/>
    </xf>
    <xf numFmtId="0" fontId="23" fillId="0" borderId="15" xfId="0" applyFont="1" applyBorder="1" applyAlignment="1" applyProtection="1">
      <alignment vertical="center"/>
      <protection locked="0"/>
    </xf>
    <xf numFmtId="0" fontId="2" fillId="21" borderId="9" xfId="0" applyFont="1" applyFill="1" applyBorder="1" applyAlignment="1" applyProtection="1">
      <alignment horizontal="left" vertical="center" wrapText="1"/>
      <protection locked="0"/>
    </xf>
    <xf numFmtId="0" fontId="25" fillId="0" borderId="0" xfId="0" applyFont="1" applyAlignment="1" applyProtection="1">
      <alignment horizontal="left" vertical="center" wrapText="1"/>
      <protection locked="0"/>
    </xf>
    <xf numFmtId="0" fontId="23" fillId="0" borderId="15" xfId="0" applyFont="1" applyBorder="1" applyAlignment="1" applyProtection="1">
      <alignment horizontal="left" vertical="center" wrapText="1"/>
      <protection locked="0"/>
    </xf>
    <xf numFmtId="0" fontId="2" fillId="22" borderId="9" xfId="0" applyFont="1" applyFill="1" applyBorder="1" applyAlignment="1" applyProtection="1">
      <alignment horizontal="center" vertical="center" wrapText="1"/>
      <protection locked="0"/>
    </xf>
    <xf numFmtId="0" fontId="2" fillId="22" borderId="17" xfId="0" applyFont="1" applyFill="1" applyBorder="1" applyAlignment="1" applyProtection="1">
      <alignment horizontal="center" vertical="center" wrapText="1"/>
      <protection locked="0"/>
    </xf>
    <xf numFmtId="0" fontId="2" fillId="21" borderId="17" xfId="0" applyFont="1" applyFill="1" applyBorder="1" applyAlignment="1" applyProtection="1">
      <alignment horizontal="left" vertical="center" wrapText="1"/>
      <protection locked="0"/>
    </xf>
    <xf numFmtId="0" fontId="2" fillId="20" borderId="18" xfId="0" applyFont="1" applyFill="1" applyBorder="1" applyAlignment="1" applyProtection="1">
      <alignment vertical="center" wrapText="1"/>
      <protection locked="0"/>
    </xf>
    <xf numFmtId="0" fontId="23" fillId="0" borderId="0" xfId="0" applyFont="1" applyAlignment="1" applyProtection="1">
      <alignment horizontal="left" vertical="center" wrapText="1"/>
      <protection locked="0"/>
    </xf>
    <xf numFmtId="0" fontId="2" fillId="22" borderId="36" xfId="0" applyFont="1" applyFill="1" applyBorder="1" applyAlignment="1" applyProtection="1">
      <alignment horizontal="center" vertical="center" wrapText="1"/>
      <protection locked="0"/>
    </xf>
    <xf numFmtId="0" fontId="2" fillId="20" borderId="36" xfId="0" applyFont="1" applyFill="1" applyBorder="1" applyAlignment="1" applyProtection="1">
      <alignment horizontal="center" vertical="center"/>
      <protection locked="0"/>
    </xf>
    <xf numFmtId="0" fontId="2" fillId="22" borderId="9" xfId="0" applyFont="1" applyFill="1" applyBorder="1" applyAlignment="1">
      <alignment horizontal="center" vertical="center" wrapText="1"/>
    </xf>
    <xf numFmtId="0" fontId="2" fillId="22" borderId="9" xfId="0" applyFont="1" applyFill="1" applyBorder="1" applyAlignment="1" applyProtection="1">
      <alignment vertical="center" wrapText="1"/>
      <protection locked="0"/>
    </xf>
    <xf numFmtId="2" fontId="0" fillId="0" borderId="9" xfId="0" applyNumberFormat="1" applyBorder="1" applyAlignment="1">
      <alignment horizontal="center" vertical="center"/>
    </xf>
    <xf numFmtId="0" fontId="3" fillId="22" borderId="9" xfId="0" applyFont="1" applyFill="1" applyBorder="1" applyAlignment="1">
      <alignment horizontal="center" vertical="center"/>
    </xf>
    <xf numFmtId="0" fontId="2" fillId="0" borderId="9" xfId="0" applyFont="1" applyBorder="1" applyAlignment="1">
      <alignment vertical="center"/>
    </xf>
    <xf numFmtId="0" fontId="0" fillId="0" borderId="9" xfId="0" applyBorder="1" applyAlignment="1">
      <alignment vertical="center"/>
    </xf>
    <xf numFmtId="0" fontId="2" fillId="0" borderId="9" xfId="0" applyFont="1" applyBorder="1" applyAlignment="1">
      <alignment vertical="center" wrapText="1"/>
    </xf>
    <xf numFmtId="0" fontId="2" fillId="0" borderId="0" xfId="0" applyFont="1" applyAlignment="1">
      <alignment vertical="center"/>
    </xf>
    <xf numFmtId="0" fontId="3" fillId="0" borderId="0" xfId="0" applyFont="1" applyAlignment="1">
      <alignment horizontal="center" vertical="center"/>
    </xf>
    <xf numFmtId="0" fontId="24" fillId="0" borderId="9" xfId="0" applyFont="1" applyBorder="1" applyAlignment="1" applyProtection="1">
      <alignment horizontal="center" vertical="center"/>
      <protection locked="0"/>
    </xf>
    <xf numFmtId="0" fontId="3" fillId="22" borderId="9" xfId="0" applyFont="1" applyFill="1" applyBorder="1" applyAlignment="1">
      <alignment horizontal="center" vertical="center" wrapText="1"/>
    </xf>
    <xf numFmtId="0" fontId="23" fillId="0" borderId="15" xfId="0" applyFont="1" applyBorder="1" applyAlignment="1" applyProtection="1">
      <alignment horizontal="center" vertical="center"/>
      <protection locked="0"/>
    </xf>
    <xf numFmtId="0" fontId="2" fillId="0" borderId="9" xfId="0" applyFont="1" applyBorder="1" applyAlignment="1">
      <alignment horizontal="left" vertical="top" wrapText="1"/>
    </xf>
    <xf numFmtId="0" fontId="0" fillId="0" borderId="9" xfId="0" applyBorder="1" applyAlignment="1">
      <alignment horizontal="left" vertical="top" wrapText="1"/>
    </xf>
    <xf numFmtId="0" fontId="2" fillId="25" borderId="9" xfId="0" applyFont="1" applyFill="1" applyBorder="1" applyAlignment="1" applyProtection="1">
      <alignment horizontal="center" vertical="center" wrapText="1"/>
      <protection locked="0"/>
    </xf>
    <xf numFmtId="14" fontId="33" fillId="28" borderId="9" xfId="0" applyNumberFormat="1" applyFont="1" applyFill="1" applyBorder="1" applyAlignment="1" applyProtection="1">
      <alignment horizontal="center"/>
      <protection locked="0"/>
    </xf>
    <xf numFmtId="9" fontId="33" fillId="28" borderId="9" xfId="50" applyFont="1" applyFill="1" applyBorder="1" applyAlignment="1" applyProtection="1">
      <alignment horizontal="center" vertical="center"/>
      <protection locked="0"/>
    </xf>
    <xf numFmtId="0" fontId="46" fillId="22" borderId="9" xfId="0" applyFont="1" applyFill="1" applyBorder="1" applyAlignment="1">
      <alignment horizontal="center" vertical="center" wrapText="1"/>
    </xf>
    <xf numFmtId="0" fontId="50" fillId="0" borderId="9" xfId="0" applyFont="1" applyBorder="1" applyAlignment="1">
      <alignment vertical="center" wrapText="1"/>
    </xf>
    <xf numFmtId="0" fontId="50" fillId="0" borderId="9" xfId="0" applyFont="1" applyBorder="1" applyAlignment="1">
      <alignment horizontal="center" vertical="center" wrapText="1"/>
    </xf>
    <xf numFmtId="0" fontId="47" fillId="0" borderId="9" xfId="0" applyFont="1" applyBorder="1" applyAlignment="1">
      <alignment vertical="center" wrapText="1"/>
    </xf>
    <xf numFmtId="0" fontId="47" fillId="0" borderId="9" xfId="0" applyFont="1" applyBorder="1" applyAlignment="1">
      <alignment horizontal="center" vertical="center" wrapText="1"/>
    </xf>
    <xf numFmtId="0" fontId="0" fillId="0" borderId="9" xfId="0" applyBorder="1" applyAlignment="1">
      <alignment horizontal="center" vertical="center"/>
    </xf>
    <xf numFmtId="2" fontId="3" fillId="21" borderId="10" xfId="0" applyNumberFormat="1" applyFont="1" applyFill="1" applyBorder="1" applyAlignment="1">
      <alignment horizontal="center" vertical="center" wrapText="1"/>
    </xf>
    <xf numFmtId="2" fontId="3" fillId="21" borderId="10" xfId="0" applyNumberFormat="1" applyFont="1" applyFill="1" applyBorder="1" applyAlignment="1">
      <alignment horizontal="center" vertical="center"/>
    </xf>
    <xf numFmtId="2" fontId="34" fillId="28" borderId="9" xfId="53" applyNumberFormat="1" applyFont="1" applyFill="1" applyBorder="1" applyAlignment="1">
      <alignment horizontal="center" vertical="center"/>
    </xf>
    <xf numFmtId="0" fontId="3" fillId="29" borderId="10" xfId="0" applyFont="1" applyFill="1" applyBorder="1" applyAlignment="1">
      <alignment horizontal="center" vertical="center" wrapText="1"/>
    </xf>
    <xf numFmtId="0" fontId="3" fillId="29" borderId="10" xfId="0" applyFont="1" applyFill="1" applyBorder="1" applyAlignment="1">
      <alignment horizontal="center" vertical="center"/>
    </xf>
    <xf numFmtId="0" fontId="3" fillId="22" borderId="13" xfId="0" applyFont="1" applyFill="1" applyBorder="1" applyAlignment="1" applyProtection="1">
      <alignment horizontal="center" vertical="center"/>
      <protection locked="0"/>
    </xf>
    <xf numFmtId="0" fontId="27" fillId="21" borderId="9" xfId="0" applyFont="1" applyFill="1" applyBorder="1" applyAlignment="1" applyProtection="1">
      <alignment horizontal="right" vertical="center"/>
      <protection locked="0"/>
    </xf>
    <xf numFmtId="0" fontId="2" fillId="28" borderId="9" xfId="0" applyFont="1" applyFill="1" applyBorder="1" applyAlignment="1" applyProtection="1">
      <alignment vertical="center"/>
      <protection locked="0"/>
    </xf>
    <xf numFmtId="0" fontId="25" fillId="0" borderId="19" xfId="0" applyFont="1" applyBorder="1" applyAlignment="1" applyProtection="1">
      <alignment horizontal="center" vertical="center"/>
      <protection locked="0"/>
    </xf>
    <xf numFmtId="0" fontId="2" fillId="0" borderId="13" xfId="0" applyFont="1" applyBorder="1" applyAlignment="1" applyProtection="1">
      <alignment horizontal="left" vertical="center"/>
      <protection locked="0"/>
    </xf>
    <xf numFmtId="0" fontId="2" fillId="21" borderId="13" xfId="0" applyFont="1" applyFill="1" applyBorder="1" applyAlignment="1">
      <alignment horizontal="center" vertical="center"/>
    </xf>
    <xf numFmtId="0" fontId="2" fillId="20" borderId="13" xfId="0" applyFont="1" applyFill="1" applyBorder="1" applyAlignment="1" applyProtection="1">
      <alignment horizontal="center" vertical="center" wrapText="1"/>
      <protection locked="0"/>
    </xf>
    <xf numFmtId="0" fontId="2" fillId="20" borderId="13" xfId="0" applyFont="1" applyFill="1" applyBorder="1" applyAlignment="1" applyProtection="1">
      <alignment vertical="center" wrapText="1"/>
      <protection locked="0"/>
    </xf>
    <xf numFmtId="0" fontId="2" fillId="25" borderId="13" xfId="0" applyFont="1" applyFill="1" applyBorder="1" applyAlignment="1" applyProtection="1">
      <alignment horizontal="center" vertical="center" wrapText="1"/>
      <protection locked="0"/>
    </xf>
    <xf numFmtId="0" fontId="2" fillId="20" borderId="10" xfId="0" applyFont="1" applyFill="1" applyBorder="1" applyAlignment="1" applyProtection="1">
      <alignment vertical="center" wrapText="1"/>
      <protection locked="0"/>
    </xf>
    <xf numFmtId="0" fontId="2" fillId="21" borderId="13" xfId="0" applyFont="1" applyFill="1" applyBorder="1" applyAlignment="1">
      <alignment horizontal="center" vertical="center" wrapText="1"/>
    </xf>
    <xf numFmtId="0" fontId="2" fillId="0" borderId="10" xfId="0" applyFont="1" applyBorder="1" applyAlignment="1" applyProtection="1">
      <alignment horizontal="left" vertical="center"/>
      <protection locked="0"/>
    </xf>
    <xf numFmtId="0" fontId="2" fillId="21" borderId="10" xfId="0" applyFont="1" applyFill="1" applyBorder="1" applyAlignment="1">
      <alignment horizontal="center" vertical="center"/>
    </xf>
    <xf numFmtId="0" fontId="2" fillId="20" borderId="10" xfId="0" applyFont="1" applyFill="1" applyBorder="1" applyAlignment="1" applyProtection="1">
      <alignment horizontal="center" vertical="center" wrapText="1"/>
      <protection locked="0"/>
    </xf>
    <xf numFmtId="0" fontId="2" fillId="25" borderId="10" xfId="0" applyFont="1" applyFill="1" applyBorder="1" applyAlignment="1" applyProtection="1">
      <alignment horizontal="center" vertical="center" wrapText="1"/>
      <protection locked="0"/>
    </xf>
    <xf numFmtId="0" fontId="2" fillId="21" borderId="10" xfId="0" applyFont="1" applyFill="1" applyBorder="1" applyAlignment="1">
      <alignment horizontal="center" vertical="center" wrapText="1"/>
    </xf>
    <xf numFmtId="2" fontId="23" fillId="28" borderId="9" xfId="0" applyNumberFormat="1" applyFont="1" applyFill="1" applyBorder="1" applyAlignment="1">
      <alignment horizontal="center" vertical="center"/>
    </xf>
    <xf numFmtId="0" fontId="2" fillId="20" borderId="10" xfId="0" applyFont="1" applyFill="1" applyBorder="1" applyAlignment="1" applyProtection="1">
      <alignment horizontal="left" vertical="center" wrapText="1"/>
      <protection locked="0"/>
    </xf>
    <xf numFmtId="0" fontId="30" fillId="0" borderId="9" xfId="0" applyFont="1" applyBorder="1" applyAlignment="1" applyProtection="1">
      <alignment horizontal="left" vertical="center"/>
      <protection locked="0"/>
    </xf>
    <xf numFmtId="9" fontId="33" fillId="0" borderId="10" xfId="60" applyFont="1" applyBorder="1" applyAlignment="1" applyProtection="1">
      <alignment horizontal="center" vertical="center"/>
      <protection locked="0"/>
    </xf>
    <xf numFmtId="9" fontId="33" fillId="0" borderId="9" xfId="60" applyFont="1" applyBorder="1" applyAlignment="1" applyProtection="1">
      <alignment horizontal="center" vertical="center"/>
      <protection locked="0"/>
    </xf>
    <xf numFmtId="0" fontId="25" fillId="0" borderId="0" xfId="0" applyFont="1" applyAlignment="1" applyProtection="1">
      <alignment horizontal="left" vertical="center"/>
      <protection locked="0"/>
    </xf>
    <xf numFmtId="0" fontId="2" fillId="21" borderId="17" xfId="0" applyFont="1" applyFill="1" applyBorder="1" applyAlignment="1" applyProtection="1">
      <alignment horizontal="left" vertical="top" wrapText="1"/>
      <protection locked="0"/>
    </xf>
    <xf numFmtId="0" fontId="2" fillId="0" borderId="9" xfId="0" applyFont="1" applyBorder="1" applyAlignment="1" applyProtection="1">
      <alignment horizontal="left" vertical="top"/>
      <protection locked="0"/>
    </xf>
    <xf numFmtId="0" fontId="2" fillId="21" borderId="9" xfId="0" applyFont="1" applyFill="1" applyBorder="1" applyAlignment="1">
      <alignment horizontal="center" vertical="top"/>
    </xf>
    <xf numFmtId="0" fontId="2" fillId="20" borderId="9" xfId="0" applyFont="1" applyFill="1" applyBorder="1" applyAlignment="1" applyProtection="1">
      <alignment horizontal="center" vertical="top" wrapText="1"/>
      <protection locked="0"/>
    </xf>
    <xf numFmtId="0" fontId="2" fillId="25" borderId="9" xfId="0" applyFont="1" applyFill="1" applyBorder="1" applyAlignment="1" applyProtection="1">
      <alignment horizontal="center" vertical="top" wrapText="1"/>
      <protection locked="0"/>
    </xf>
    <xf numFmtId="0" fontId="2" fillId="20" borderId="9" xfId="0" applyFont="1" applyFill="1" applyBorder="1" applyAlignment="1" applyProtection="1">
      <alignment horizontal="center" vertical="top"/>
      <protection locked="0"/>
    </xf>
    <xf numFmtId="0" fontId="2" fillId="20" borderId="36" xfId="0" applyFont="1" applyFill="1" applyBorder="1" applyAlignment="1" applyProtection="1">
      <alignment horizontal="center" vertical="top"/>
      <protection locked="0"/>
    </xf>
    <xf numFmtId="0" fontId="2" fillId="20" borderId="18" xfId="0" applyFont="1" applyFill="1" applyBorder="1" applyAlignment="1" applyProtection="1">
      <alignment vertical="top" wrapText="1"/>
      <protection locked="0"/>
    </xf>
    <xf numFmtId="0" fontId="2" fillId="20" borderId="9" xfId="0" applyFont="1" applyFill="1" applyBorder="1" applyAlignment="1" applyProtection="1">
      <alignment vertical="top" wrapText="1"/>
      <protection locked="0"/>
    </xf>
    <xf numFmtId="0" fontId="2" fillId="22" borderId="9" xfId="0" applyFont="1" applyFill="1" applyBorder="1" applyAlignment="1">
      <alignment horizontal="center" vertical="top" wrapText="1"/>
    </xf>
    <xf numFmtId="0" fontId="2" fillId="22" borderId="9" xfId="0" applyFont="1" applyFill="1" applyBorder="1" applyAlignment="1" applyProtection="1">
      <alignment vertical="top" wrapText="1"/>
      <protection locked="0"/>
    </xf>
    <xf numFmtId="0" fontId="2" fillId="20" borderId="9" xfId="0" applyFont="1" applyFill="1" applyBorder="1" applyAlignment="1" applyProtection="1">
      <alignment horizontal="left" vertical="top" wrapText="1"/>
      <protection locked="0"/>
    </xf>
    <xf numFmtId="0" fontId="2" fillId="21" borderId="9" xfId="0" applyFont="1" applyFill="1" applyBorder="1" applyAlignment="1" applyProtection="1">
      <alignment horizontal="left" vertical="top" wrapText="1"/>
      <protection locked="0"/>
    </xf>
    <xf numFmtId="0" fontId="2" fillId="0" borderId="0" xfId="0" applyFont="1" applyAlignment="1" applyProtection="1">
      <alignment vertical="top"/>
      <protection locked="0"/>
    </xf>
    <xf numFmtId="0" fontId="2" fillId="0" borderId="0" xfId="0" applyFont="1" applyAlignment="1" applyProtection="1">
      <alignment horizontal="center" vertical="top" wrapText="1"/>
      <protection locked="0"/>
    </xf>
    <xf numFmtId="0" fontId="2" fillId="0" borderId="0" xfId="0" applyFont="1" applyAlignment="1" applyProtection="1">
      <alignment horizontal="left" vertical="top" wrapText="1"/>
      <protection locked="0"/>
    </xf>
    <xf numFmtId="0" fontId="2" fillId="0" borderId="0" xfId="0" applyFont="1" applyAlignment="1" applyProtection="1">
      <alignment vertical="top" wrapText="1"/>
      <protection locked="0"/>
    </xf>
    <xf numFmtId="0" fontId="2" fillId="0" borderId="0" xfId="0" applyFont="1" applyAlignment="1" applyProtection="1">
      <alignment horizontal="center" vertical="top"/>
      <protection locked="0"/>
    </xf>
    <xf numFmtId="0" fontId="3" fillId="21" borderId="10" xfId="0" applyFont="1" applyFill="1" applyBorder="1" applyAlignment="1" applyProtection="1">
      <alignment horizontal="center" vertical="top" wrapText="1"/>
      <protection locked="0"/>
    </xf>
    <xf numFmtId="0" fontId="2" fillId="20" borderId="10" xfId="0" applyFont="1" applyFill="1" applyBorder="1" applyAlignment="1" applyProtection="1">
      <alignment vertical="top" wrapText="1"/>
      <protection locked="0"/>
    </xf>
    <xf numFmtId="2" fontId="3" fillId="21" borderId="10" xfId="0" applyNumberFormat="1" applyFont="1" applyFill="1" applyBorder="1" applyAlignment="1">
      <alignment horizontal="center" vertical="top"/>
    </xf>
    <xf numFmtId="0" fontId="0" fillId="0" borderId="0" xfId="0" applyAlignment="1" applyProtection="1">
      <alignment vertical="top"/>
      <protection locked="0"/>
    </xf>
    <xf numFmtId="0" fontId="0" fillId="0" borderId="0" xfId="0" applyAlignment="1" applyProtection="1">
      <alignment horizontal="center" vertical="top" wrapText="1"/>
      <protection locked="0"/>
    </xf>
    <xf numFmtId="0" fontId="0" fillId="0" borderId="0" xfId="0" applyAlignment="1" applyProtection="1">
      <alignment horizontal="left" vertical="top" wrapText="1"/>
      <protection locked="0"/>
    </xf>
    <xf numFmtId="0" fontId="4" fillId="0" borderId="0" xfId="0" applyFont="1" applyAlignment="1" applyProtection="1">
      <alignment vertical="top" wrapText="1"/>
      <protection locked="0"/>
    </xf>
    <xf numFmtId="0" fontId="0" fillId="0" borderId="0" xfId="0" applyAlignment="1" applyProtection="1">
      <alignment horizontal="center" vertical="top"/>
      <protection locked="0"/>
    </xf>
    <xf numFmtId="0" fontId="3" fillId="0" borderId="0" xfId="0" applyFont="1" applyAlignment="1" applyProtection="1">
      <alignment horizontal="center" vertical="top" wrapText="1"/>
      <protection locked="0"/>
    </xf>
    <xf numFmtId="0" fontId="3" fillId="0" borderId="0" xfId="0" applyFont="1" applyAlignment="1" applyProtection="1">
      <alignment horizontal="left" vertical="top" wrapText="1"/>
      <protection locked="0"/>
    </xf>
    <xf numFmtId="0" fontId="3" fillId="0" borderId="0" xfId="0" applyFont="1" applyAlignment="1" applyProtection="1">
      <alignment vertical="top" wrapText="1"/>
      <protection locked="0"/>
    </xf>
    <xf numFmtId="0" fontId="3" fillId="0" borderId="0" xfId="0" applyFont="1" applyAlignment="1" applyProtection="1">
      <alignment horizontal="center" vertical="top"/>
      <protection locked="0"/>
    </xf>
    <xf numFmtId="0" fontId="2" fillId="0" borderId="9" xfId="0" applyFont="1" applyBorder="1" applyAlignment="1" applyProtection="1">
      <alignment vertical="top" wrapText="1"/>
      <protection locked="0"/>
    </xf>
    <xf numFmtId="0" fontId="3" fillId="27" borderId="9" xfId="0" applyFont="1" applyFill="1" applyBorder="1" applyAlignment="1" applyProtection="1">
      <alignment horizontal="center" vertical="center" wrapText="1"/>
      <protection locked="0"/>
    </xf>
    <xf numFmtId="0" fontId="0" fillId="0" borderId="10" xfId="0" applyBorder="1" applyProtection="1">
      <protection locked="0"/>
    </xf>
    <xf numFmtId="0" fontId="3" fillId="22" borderId="10" xfId="0" applyFont="1" applyFill="1" applyBorder="1" applyAlignment="1" applyProtection="1">
      <alignment horizontal="center" vertical="center" wrapText="1"/>
      <protection locked="0"/>
    </xf>
    <xf numFmtId="0" fontId="3" fillId="22" borderId="9" xfId="0" applyFont="1" applyFill="1" applyBorder="1" applyAlignment="1" applyProtection="1">
      <alignment horizontal="center" vertical="center"/>
      <protection locked="0"/>
    </xf>
    <xf numFmtId="0" fontId="3" fillId="27" borderId="9" xfId="0" applyFont="1" applyFill="1" applyBorder="1" applyAlignment="1" applyProtection="1">
      <alignment horizontal="center" vertical="center"/>
      <protection locked="0"/>
    </xf>
    <xf numFmtId="14" fontId="30" fillId="28" borderId="9" xfId="0" applyNumberFormat="1" applyFont="1" applyFill="1" applyBorder="1" applyAlignment="1" applyProtection="1">
      <alignment horizontal="center" vertical="center"/>
      <protection locked="0"/>
    </xf>
    <xf numFmtId="0" fontId="0" fillId="0" borderId="11" xfId="0" applyBorder="1" applyProtection="1">
      <protection locked="0"/>
    </xf>
    <xf numFmtId="0" fontId="0" fillId="0" borderId="18" xfId="0" applyBorder="1" applyProtection="1">
      <protection locked="0"/>
    </xf>
    <xf numFmtId="0" fontId="3" fillId="22" borderId="36" xfId="0" applyFont="1" applyFill="1" applyBorder="1" applyAlignment="1" applyProtection="1">
      <alignment horizontal="center" vertical="center"/>
      <protection locked="0"/>
    </xf>
    <xf numFmtId="0" fontId="3" fillId="22" borderId="9" xfId="0" applyFont="1" applyFill="1" applyBorder="1" applyAlignment="1" applyProtection="1">
      <alignment horizontal="center" vertical="center" wrapText="1"/>
      <protection locked="0"/>
    </xf>
    <xf numFmtId="0" fontId="25" fillId="0" borderId="15" xfId="0" applyFont="1" applyBorder="1" applyAlignment="1" applyProtection="1">
      <alignment horizontal="right" vertical="center" wrapText="1"/>
      <protection locked="0"/>
    </xf>
    <xf numFmtId="0" fontId="0" fillId="0" borderId="15" xfId="0" applyBorder="1" applyProtection="1">
      <protection locked="0"/>
    </xf>
    <xf numFmtId="0" fontId="27" fillId="21" borderId="9" xfId="0" applyFont="1" applyFill="1" applyBorder="1" applyAlignment="1" applyProtection="1">
      <alignment horizontal="right" vertical="center"/>
      <protection locked="0"/>
    </xf>
    <xf numFmtId="0" fontId="23" fillId="21" borderId="9" xfId="0" applyFont="1" applyFill="1" applyBorder="1" applyAlignment="1" applyProtection="1">
      <alignment horizontal="left" vertical="center"/>
      <protection locked="0"/>
    </xf>
    <xf numFmtId="0" fontId="27" fillId="21" borderId="9" xfId="0" applyFont="1" applyFill="1" applyBorder="1" applyAlignment="1" applyProtection="1">
      <alignment horizontal="left" vertical="center"/>
      <protection locked="0"/>
    </xf>
    <xf numFmtId="49" fontId="30" fillId="28" borderId="9" xfId="0" applyNumberFormat="1" applyFont="1" applyFill="1" applyBorder="1" applyAlignment="1" applyProtection="1">
      <alignment horizontal="center" vertical="center"/>
      <protection locked="0"/>
    </xf>
    <xf numFmtId="0" fontId="49" fillId="0" borderId="16" xfId="0" applyFont="1" applyBorder="1" applyAlignment="1" applyProtection="1">
      <alignment horizontal="center" vertical="center" wrapText="1"/>
      <protection locked="0"/>
    </xf>
    <xf numFmtId="0" fontId="0" fillId="0" borderId="16" xfId="0" applyBorder="1" applyProtection="1">
      <protection locked="0"/>
    </xf>
    <xf numFmtId="9" fontId="51" fillId="0" borderId="0" xfId="60" applyFont="1" applyAlignment="1">
      <alignment horizontal="center" vertical="center"/>
    </xf>
    <xf numFmtId="0" fontId="4" fillId="0" borderId="0" xfId="0" applyFont="1" applyAlignment="1" applyProtection="1">
      <alignment vertical="center" wrapText="1"/>
      <protection locked="0"/>
    </xf>
    <xf numFmtId="0" fontId="2" fillId="28" borderId="9" xfId="0" applyFont="1" applyFill="1" applyBorder="1" applyAlignment="1" applyProtection="1">
      <alignment horizontal="center" vertical="center"/>
      <protection locked="0"/>
    </xf>
    <xf numFmtId="0" fontId="48" fillId="0" borderId="9" xfId="0" applyFont="1" applyBorder="1" applyAlignment="1" applyProtection="1">
      <alignment horizontal="center" vertical="center" wrapText="1"/>
      <protection locked="0"/>
    </xf>
    <xf numFmtId="0" fontId="0" fillId="0" borderId="19" xfId="0" applyBorder="1" applyProtection="1">
      <protection locked="0"/>
    </xf>
    <xf numFmtId="0" fontId="0" fillId="0" borderId="20" xfId="0" applyBorder="1" applyProtection="1">
      <protection locked="0"/>
    </xf>
    <xf numFmtId="0" fontId="0" fillId="0" borderId="0" xfId="0" applyProtection="1">
      <protection locked="0"/>
    </xf>
    <xf numFmtId="0" fontId="0" fillId="0" borderId="62" xfId="0" applyBorder="1" applyProtection="1">
      <protection locked="0"/>
    </xf>
    <xf numFmtId="0" fontId="0" fillId="0" borderId="14" xfId="0" applyBorder="1" applyProtection="1">
      <protection locked="0"/>
    </xf>
    <xf numFmtId="0" fontId="0" fillId="0" borderId="21" xfId="0" applyBorder="1" applyProtection="1">
      <protection locked="0"/>
    </xf>
    <xf numFmtId="0" fontId="2" fillId="28" borderId="9" xfId="0" applyFont="1" applyFill="1" applyBorder="1" applyAlignment="1" applyProtection="1">
      <alignment horizontal="center" vertical="top"/>
      <protection locked="0"/>
    </xf>
    <xf numFmtId="0" fontId="0" fillId="0" borderId="11" xfId="0" applyBorder="1" applyAlignment="1" applyProtection="1">
      <alignment vertical="top"/>
      <protection locked="0"/>
    </xf>
    <xf numFmtId="0" fontId="0" fillId="0" borderId="18" xfId="0" applyBorder="1" applyAlignment="1" applyProtection="1">
      <alignment vertical="top"/>
      <protection locked="0"/>
    </xf>
    <xf numFmtId="0" fontId="3" fillId="22" borderId="17" xfId="0" applyFont="1" applyFill="1" applyBorder="1" applyAlignment="1" applyProtection="1">
      <alignment horizontal="center" vertical="center"/>
      <protection locked="0"/>
    </xf>
    <xf numFmtId="0" fontId="43" fillId="0" borderId="9" xfId="0" applyFont="1" applyBorder="1" applyAlignment="1" applyProtection="1">
      <alignment horizontal="left" vertical="center"/>
      <protection locked="0"/>
    </xf>
    <xf numFmtId="0" fontId="45" fillId="0" borderId="9" xfId="0" applyFont="1" applyBorder="1" applyAlignment="1" applyProtection="1">
      <alignment horizontal="left" vertical="center"/>
      <protection locked="0"/>
    </xf>
    <xf numFmtId="0" fontId="44" fillId="21" borderId="9" xfId="0" applyFont="1" applyFill="1" applyBorder="1" applyAlignment="1" applyProtection="1">
      <alignment horizontal="center" vertical="center"/>
      <protection locked="0"/>
    </xf>
    <xf numFmtId="0" fontId="45" fillId="0" borderId="9" xfId="0" applyFont="1" applyBorder="1" applyAlignment="1" applyProtection="1">
      <alignment vertical="center"/>
      <protection locked="0"/>
    </xf>
    <xf numFmtId="0" fontId="43" fillId="0" borderId="9" xfId="0" applyFont="1" applyBorder="1" applyAlignment="1" applyProtection="1">
      <alignment horizontal="left" vertical="top"/>
      <protection locked="0"/>
    </xf>
    <xf numFmtId="0" fontId="30" fillId="0" borderId="9" xfId="0" applyFont="1" applyBorder="1" applyAlignment="1" applyProtection="1">
      <alignment vertical="center"/>
      <protection locked="0"/>
    </xf>
    <xf numFmtId="0" fontId="43" fillId="21" borderId="9" xfId="0" applyFont="1" applyFill="1" applyBorder="1" applyAlignment="1">
      <alignment horizontal="left" vertical="center"/>
    </xf>
    <xf numFmtId="0" fontId="0" fillId="0" borderId="11" xfId="0" applyBorder="1"/>
    <xf numFmtId="0" fontId="0" fillId="0" borderId="18" xfId="0" applyBorder="1"/>
    <xf numFmtId="0" fontId="45" fillId="21" borderId="9" xfId="0" applyFont="1" applyFill="1" applyBorder="1" applyAlignment="1" applyProtection="1">
      <alignment horizontal="center" vertical="center" wrapText="1"/>
      <protection locked="0"/>
    </xf>
    <xf numFmtId="0" fontId="44" fillId="28" borderId="9" xfId="0" applyFont="1" applyFill="1" applyBorder="1" applyAlignment="1" applyProtection="1">
      <alignment horizontal="center" vertical="center"/>
      <protection locked="0"/>
    </xf>
    <xf numFmtId="14" fontId="43" fillId="21" borderId="9" xfId="0" applyNumberFormat="1" applyFont="1" applyFill="1" applyBorder="1" applyAlignment="1">
      <alignment horizontal="left" vertical="center"/>
    </xf>
    <xf numFmtId="0" fontId="44" fillId="21" borderId="9" xfId="0" applyFont="1" applyFill="1" applyBorder="1" applyAlignment="1" applyProtection="1">
      <alignment horizontal="left" vertical="center"/>
      <protection locked="0"/>
    </xf>
    <xf numFmtId="0" fontId="44" fillId="21" borderId="9" xfId="0" applyFont="1" applyFill="1" applyBorder="1" applyAlignment="1" applyProtection="1">
      <alignment vertical="center"/>
      <protection locked="0"/>
    </xf>
    <xf numFmtId="0" fontId="30" fillId="21" borderId="9" xfId="0" applyFont="1" applyFill="1" applyBorder="1" applyAlignment="1" applyProtection="1">
      <alignment horizontal="center" vertical="center" wrapText="1"/>
      <protection locked="0"/>
    </xf>
    <xf numFmtId="0" fontId="30" fillId="0" borderId="9" xfId="0" applyFont="1" applyBorder="1" applyAlignment="1" applyProtection="1">
      <alignment horizontal="left" vertical="center"/>
      <protection locked="0"/>
    </xf>
    <xf numFmtId="0" fontId="33" fillId="0" borderId="9" xfId="0" applyFont="1" applyBorder="1" applyAlignment="1" applyProtection="1">
      <alignment horizontal="left" vertical="center" wrapText="1"/>
      <protection locked="0"/>
    </xf>
    <xf numFmtId="0" fontId="33" fillId="0" borderId="9" xfId="0" applyFont="1" applyBorder="1" applyAlignment="1" applyProtection="1">
      <alignment horizontal="left" vertical="center"/>
      <protection locked="0"/>
    </xf>
    <xf numFmtId="0" fontId="44" fillId="21" borderId="9" xfId="0" applyFont="1" applyFill="1" applyBorder="1" applyAlignment="1" applyProtection="1">
      <alignment horizontal="right" vertical="center"/>
      <protection locked="0"/>
    </xf>
    <xf numFmtId="0" fontId="25" fillId="0" borderId="15" xfId="0" applyFont="1" applyBorder="1" applyAlignment="1" applyProtection="1">
      <alignment horizontal="center" vertical="center" wrapText="1"/>
      <protection locked="0" hidden="1"/>
    </xf>
    <xf numFmtId="0" fontId="0" fillId="0" borderId="15" xfId="0" applyBorder="1" applyProtection="1">
      <protection locked="0" hidden="1"/>
    </xf>
    <xf numFmtId="9" fontId="33" fillId="0" borderId="9" xfId="60" applyFont="1" applyBorder="1" applyAlignment="1" applyProtection="1">
      <alignment horizontal="center" vertical="center"/>
      <protection locked="0"/>
    </xf>
    <xf numFmtId="0" fontId="0" fillId="0" borderId="12" xfId="0" applyBorder="1" applyProtection="1">
      <protection locked="0"/>
    </xf>
    <xf numFmtId="0" fontId="33" fillId="21" borderId="9" xfId="0" applyFont="1" applyFill="1" applyBorder="1" applyAlignment="1">
      <alignment horizontal="left" vertical="center"/>
    </xf>
    <xf numFmtId="0" fontId="3" fillId="22" borderId="13" xfId="0" applyFont="1" applyFill="1" applyBorder="1" applyAlignment="1" applyProtection="1">
      <alignment horizontal="center" vertical="center" wrapText="1"/>
      <protection locked="0"/>
    </xf>
    <xf numFmtId="0" fontId="23" fillId="21" borderId="9" xfId="0" applyFont="1" applyFill="1" applyBorder="1" applyAlignment="1" applyProtection="1">
      <alignment horizontal="right" vertical="center"/>
      <protection locked="0"/>
    </xf>
    <xf numFmtId="2" fontId="34" fillId="28" borderId="9" xfId="0" applyNumberFormat="1" applyFont="1" applyFill="1" applyBorder="1" applyAlignment="1">
      <alignment horizontal="center" vertical="center"/>
    </xf>
    <xf numFmtId="0" fontId="0" fillId="0" borderId="10" xfId="0" applyBorder="1"/>
    <xf numFmtId="0" fontId="3" fillId="29" borderId="9" xfId="0" applyFont="1" applyFill="1" applyBorder="1" applyAlignment="1">
      <alignment horizontal="right" vertical="center" wrapText="1"/>
    </xf>
    <xf numFmtId="0" fontId="3" fillId="21" borderId="10" xfId="0" applyFont="1" applyFill="1" applyBorder="1" applyAlignment="1" applyProtection="1">
      <alignment horizontal="right" vertical="center" wrapText="1"/>
      <protection locked="0"/>
    </xf>
    <xf numFmtId="14" fontId="30" fillId="23" borderId="9" xfId="0" applyNumberFormat="1" applyFont="1" applyFill="1" applyBorder="1" applyAlignment="1" applyProtection="1">
      <alignment horizontal="center" vertical="center"/>
      <protection locked="0"/>
    </xf>
    <xf numFmtId="0" fontId="23" fillId="0" borderId="14" xfId="0" applyFont="1" applyBorder="1" applyAlignment="1" applyProtection="1">
      <alignment horizontal="center" vertical="center"/>
      <protection locked="0"/>
    </xf>
    <xf numFmtId="14" fontId="34" fillId="23" borderId="9" xfId="0" applyNumberFormat="1" applyFont="1" applyFill="1" applyBorder="1" applyAlignment="1">
      <alignment horizontal="center" vertical="center"/>
    </xf>
    <xf numFmtId="0" fontId="0" fillId="0" borderId="20" xfId="0" applyBorder="1"/>
    <xf numFmtId="0" fontId="0" fillId="0" borderId="14" xfId="0" applyBorder="1"/>
    <xf numFmtId="0" fontId="0" fillId="0" borderId="21" xfId="0" applyBorder="1"/>
    <xf numFmtId="0" fontId="3" fillId="22" borderId="10"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49" fontId="30" fillId="23" borderId="9" xfId="0" applyNumberFormat="1" applyFont="1" applyFill="1" applyBorder="1" applyAlignment="1" applyProtection="1">
      <alignment horizontal="center" vertical="center"/>
      <protection locked="0"/>
    </xf>
    <xf numFmtId="0" fontId="2" fillId="20" borderId="9" xfId="0" applyFont="1" applyFill="1" applyBorder="1" applyAlignment="1" applyProtection="1">
      <alignment horizontal="center" vertical="center" wrapText="1"/>
      <protection locked="0"/>
    </xf>
    <xf numFmtId="0" fontId="3" fillId="21" borderId="9" xfId="0" applyFont="1" applyFill="1" applyBorder="1" applyAlignment="1" applyProtection="1">
      <alignment horizontal="right" vertical="center"/>
      <protection locked="0"/>
    </xf>
    <xf numFmtId="0" fontId="34" fillId="23" borderId="9" xfId="0" applyFont="1" applyFill="1" applyBorder="1" applyAlignment="1">
      <alignment horizontal="center" vertical="center"/>
    </xf>
    <xf numFmtId="0" fontId="27" fillId="21" borderId="9" xfId="0" applyFont="1" applyFill="1" applyBorder="1" applyAlignment="1" applyProtection="1">
      <alignment horizontal="center" vertical="center"/>
      <protection locked="0"/>
    </xf>
    <xf numFmtId="2" fontId="3" fillId="21" borderId="9" xfId="0" applyNumberFormat="1" applyFont="1" applyFill="1" applyBorder="1" applyAlignment="1">
      <alignment horizontal="center" vertical="center" wrapText="1"/>
    </xf>
    <xf numFmtId="0" fontId="3" fillId="0" borderId="9" xfId="0" applyFont="1" applyBorder="1" applyAlignment="1" applyProtection="1">
      <alignment horizontal="center" vertical="center"/>
      <protection locked="0"/>
    </xf>
    <xf numFmtId="0" fontId="2" fillId="0" borderId="9" xfId="0" applyFont="1" applyBorder="1" applyAlignment="1" applyProtection="1">
      <alignment horizontal="center" vertical="center" wrapText="1"/>
      <protection locked="0"/>
    </xf>
    <xf numFmtId="14" fontId="34" fillId="28" borderId="9" xfId="0" applyNumberFormat="1" applyFont="1" applyFill="1" applyBorder="1" applyAlignment="1">
      <alignment horizontal="center" vertical="center"/>
    </xf>
    <xf numFmtId="0" fontId="3" fillId="22" borderId="15" xfId="0" applyFont="1" applyFill="1" applyBorder="1" applyAlignment="1" applyProtection="1">
      <alignment horizontal="center" vertical="center"/>
      <protection locked="0"/>
    </xf>
    <xf numFmtId="0" fontId="30" fillId="24" borderId="34" xfId="0" applyFont="1" applyFill="1" applyBorder="1" applyAlignment="1">
      <alignment horizontal="center" vertical="center"/>
    </xf>
    <xf numFmtId="9" fontId="1" fillId="21" borderId="52" xfId="51" applyFont="1" applyFill="1" applyBorder="1" applyAlignment="1">
      <alignment horizontal="center" vertical="center"/>
    </xf>
    <xf numFmtId="0" fontId="0" fillId="0" borderId="43" xfId="0" applyBorder="1"/>
    <xf numFmtId="0" fontId="35" fillId="24" borderId="35" xfId="55" applyFont="1" applyFill="1" applyBorder="1" applyAlignment="1">
      <alignment horizontal="center" vertical="center"/>
    </xf>
    <xf numFmtId="0" fontId="0" fillId="0" borderId="44" xfId="0" applyBorder="1"/>
    <xf numFmtId="0" fontId="35" fillId="24" borderId="32" xfId="55" applyFont="1" applyFill="1" applyBorder="1" applyAlignment="1">
      <alignment horizontal="center" vertical="center"/>
    </xf>
    <xf numFmtId="0" fontId="0" fillId="0" borderId="30" xfId="0" applyBorder="1"/>
    <xf numFmtId="0" fontId="0" fillId="0" borderId="31" xfId="0" applyBorder="1"/>
    <xf numFmtId="0" fontId="35" fillId="24" borderId="22" xfId="0" applyFont="1" applyFill="1" applyBorder="1" applyAlignment="1">
      <alignment horizontal="right" vertical="center"/>
    </xf>
    <xf numFmtId="0" fontId="0" fillId="0" borderId="23" xfId="0" applyBorder="1"/>
    <xf numFmtId="0" fontId="35" fillId="24" borderId="36" xfId="55" applyFont="1" applyFill="1" applyBorder="1" applyAlignment="1">
      <alignment horizontal="center" vertical="center"/>
    </xf>
    <xf numFmtId="164" fontId="35" fillId="21" borderId="37" xfId="56" applyNumberFormat="1" applyFont="1" applyFill="1" applyBorder="1" applyAlignment="1">
      <alignment horizontal="center" vertical="center"/>
    </xf>
    <xf numFmtId="0" fontId="0" fillId="0" borderId="50" xfId="0" applyBorder="1"/>
    <xf numFmtId="0" fontId="35" fillId="28" borderId="24" xfId="0" applyFont="1" applyFill="1" applyBorder="1" applyAlignment="1" applyProtection="1">
      <alignment horizontal="center" vertical="center"/>
      <protection locked="0"/>
    </xf>
    <xf numFmtId="0" fontId="0" fillId="0" borderId="24" xfId="0" applyBorder="1" applyProtection="1">
      <protection locked="0"/>
    </xf>
    <xf numFmtId="0" fontId="33" fillId="0" borderId="0" xfId="0" applyFont="1" applyAlignment="1">
      <alignment horizontal="center"/>
    </xf>
    <xf numFmtId="0" fontId="32" fillId="20" borderId="63" xfId="0" applyFont="1" applyFill="1" applyBorder="1" applyAlignment="1">
      <alignment horizontal="center"/>
    </xf>
    <xf numFmtId="0" fontId="0" fillId="0" borderId="24" xfId="0" applyBorder="1"/>
    <xf numFmtId="0" fontId="30" fillId="26" borderId="52" xfId="50" applyNumberFormat="1" applyFont="1" applyFill="1" applyBorder="1" applyAlignment="1">
      <alignment horizontal="left" vertical="center"/>
    </xf>
    <xf numFmtId="0" fontId="0" fillId="0" borderId="59" xfId="0" applyBorder="1"/>
    <xf numFmtId="0" fontId="30" fillId="25" borderId="38" xfId="55" applyFont="1" applyFill="1" applyBorder="1" applyAlignment="1">
      <alignment horizontal="center" vertical="center"/>
    </xf>
    <xf numFmtId="0" fontId="0" fillId="0" borderId="39" xfId="0" applyBorder="1"/>
    <xf numFmtId="0" fontId="35" fillId="24" borderId="33" xfId="55" applyFont="1" applyFill="1" applyBorder="1" applyAlignment="1">
      <alignment horizontal="center" vertical="center"/>
    </xf>
    <xf numFmtId="0" fontId="0" fillId="0" borderId="47" xfId="0" applyBorder="1"/>
    <xf numFmtId="0" fontId="0" fillId="0" borderId="48" xfId="0" applyBorder="1"/>
    <xf numFmtId="0" fontId="37" fillId="28" borderId="27" xfId="0" applyFont="1" applyFill="1" applyBorder="1" applyAlignment="1" applyProtection="1">
      <alignment horizontal="center" vertical="center"/>
      <protection locked="0"/>
    </xf>
    <xf numFmtId="0" fontId="0" fillId="0" borderId="27" xfId="0" applyBorder="1" applyProtection="1">
      <protection locked="0"/>
    </xf>
    <xf numFmtId="0" fontId="30" fillId="24" borderId="33" xfId="0" applyFont="1" applyFill="1" applyBorder="1" applyAlignment="1">
      <alignment horizontal="center" vertical="center" wrapText="1"/>
    </xf>
    <xf numFmtId="0" fontId="0" fillId="0" borderId="64" xfId="0" applyBorder="1"/>
    <xf numFmtId="0" fontId="0" fillId="0" borderId="61" xfId="0" applyBorder="1"/>
    <xf numFmtId="0" fontId="30" fillId="24" borderId="36" xfId="0" applyFont="1" applyFill="1" applyBorder="1" applyAlignment="1">
      <alignment horizontal="center" vertical="center"/>
    </xf>
    <xf numFmtId="0" fontId="30" fillId="24" borderId="34" xfId="0" applyFont="1" applyFill="1" applyBorder="1" applyAlignment="1">
      <alignment horizontal="center" vertical="center" wrapText="1"/>
    </xf>
    <xf numFmtId="0" fontId="36" fillId="28" borderId="24" xfId="0" applyFont="1" applyFill="1" applyBorder="1" applyAlignment="1" applyProtection="1">
      <alignment horizontal="center" vertical="center" wrapText="1"/>
      <protection locked="0"/>
    </xf>
    <xf numFmtId="0" fontId="32" fillId="26" borderId="58" xfId="55" applyFont="1" applyFill="1" applyBorder="1" applyAlignment="1">
      <alignment horizontal="center" vertical="center"/>
    </xf>
    <xf numFmtId="0" fontId="35" fillId="24" borderId="58" xfId="55" quotePrefix="1" applyFont="1" applyFill="1" applyBorder="1" applyAlignment="1">
      <alignment horizontal="center" vertical="center"/>
    </xf>
    <xf numFmtId="0" fontId="0" fillId="0" borderId="29" xfId="0" applyBorder="1"/>
    <xf numFmtId="0" fontId="39" fillId="21" borderId="43" xfId="0" applyFont="1" applyFill="1" applyBorder="1" applyAlignment="1">
      <alignment horizontal="center" vertical="center" wrapText="1"/>
    </xf>
    <xf numFmtId="0" fontId="0" fillId="0" borderId="49" xfId="0" applyBorder="1"/>
    <xf numFmtId="0" fontId="25" fillId="0" borderId="0" xfId="0" applyFont="1" applyAlignment="1" applyProtection="1">
      <alignment horizontal="right" vertical="center" wrapText="1"/>
      <protection locked="0"/>
    </xf>
    <xf numFmtId="0" fontId="0" fillId="0" borderId="40" xfId="0" applyBorder="1"/>
    <xf numFmtId="0" fontId="32" fillId="20" borderId="63" xfId="55" applyFont="1" applyFill="1" applyBorder="1" applyAlignment="1">
      <alignment horizontal="center" vertical="center"/>
    </xf>
    <xf numFmtId="0" fontId="35" fillId="24" borderId="22" xfId="0" applyFont="1" applyFill="1" applyBorder="1" applyAlignment="1">
      <alignment horizontal="center" vertical="center" wrapText="1"/>
    </xf>
    <xf numFmtId="0" fontId="0" fillId="0" borderId="26" xfId="0" applyBorder="1"/>
    <xf numFmtId="0" fontId="30" fillId="25" borderId="61" xfId="55" applyFont="1" applyFill="1" applyBorder="1" applyAlignment="1">
      <alignment horizontal="center" vertical="center"/>
    </xf>
    <xf numFmtId="0" fontId="0" fillId="0" borderId="15" xfId="0" applyBorder="1"/>
    <xf numFmtId="0" fontId="35" fillId="24" borderId="25" xfId="0" applyFont="1" applyFill="1" applyBorder="1" applyAlignment="1">
      <alignment horizontal="right" vertical="center"/>
    </xf>
    <xf numFmtId="0" fontId="35" fillId="24" borderId="41" xfId="55" applyFont="1" applyFill="1" applyBorder="1" applyAlignment="1">
      <alignment horizontal="center" vertical="center"/>
    </xf>
    <xf numFmtId="0" fontId="0" fillId="0" borderId="51" xfId="0" applyBorder="1"/>
    <xf numFmtId="14" fontId="30" fillId="28" borderId="37" xfId="55" applyNumberFormat="1" applyFont="1" applyFill="1" applyBorder="1" applyAlignment="1" applyProtection="1">
      <alignment horizontal="center" vertical="center"/>
      <protection locked="0"/>
    </xf>
    <xf numFmtId="0" fontId="0" fillId="0" borderId="50" xfId="0" applyBorder="1" applyProtection="1">
      <protection locked="0"/>
    </xf>
    <xf numFmtId="0" fontId="35" fillId="24" borderId="35" xfId="55" applyFont="1" applyFill="1" applyBorder="1" applyAlignment="1">
      <alignment horizontal="center" vertical="center" wrapText="1"/>
    </xf>
    <xf numFmtId="0" fontId="0" fillId="0" borderId="27" xfId="0" applyBorder="1"/>
    <xf numFmtId="0" fontId="0" fillId="0" borderId="45" xfId="0" applyBorder="1"/>
    <xf numFmtId="0" fontId="36" fillId="28" borderId="23" xfId="0" applyFont="1" applyFill="1" applyBorder="1" applyAlignment="1" applyProtection="1">
      <alignment horizontal="center" vertical="center" wrapText="1"/>
      <protection locked="0"/>
    </xf>
    <xf numFmtId="0" fontId="0" fillId="0" borderId="30" xfId="0" applyBorder="1" applyProtection="1">
      <protection locked="0"/>
    </xf>
    <xf numFmtId="0" fontId="25" fillId="0" borderId="15" xfId="0" applyFont="1" applyBorder="1" applyAlignment="1">
      <alignment horizontal="right" vertical="center" wrapText="1"/>
    </xf>
    <xf numFmtId="0" fontId="3" fillId="22" borderId="9" xfId="0" applyFont="1" applyFill="1" applyBorder="1" applyAlignment="1">
      <alignment horizontal="center" vertical="center"/>
    </xf>
    <xf numFmtId="0" fontId="2" fillId="0" borderId="9" xfId="0" applyFont="1" applyFill="1" applyBorder="1" applyAlignment="1" applyProtection="1">
      <alignment vertical="top" wrapText="1"/>
      <protection locked="0"/>
    </xf>
  </cellXfs>
  <cellStyles count="64">
    <cellStyle name="Accent1" xfId="1" xr:uid="{00000000-0005-0000-0000-000001000000}"/>
    <cellStyle name="Accent1 - 20%" xfId="2" xr:uid="{00000000-0005-0000-0000-000002000000}"/>
    <cellStyle name="Accent1 - 40%" xfId="3" xr:uid="{00000000-0005-0000-0000-000003000000}"/>
    <cellStyle name="Accent1 - 60%" xfId="4" xr:uid="{00000000-0005-0000-0000-000004000000}"/>
    <cellStyle name="Accent1_Contagem Estimativa Inicial - Portal do Investidor 1 0 - 20060908" xfId="5" xr:uid="{00000000-0005-0000-0000-000005000000}"/>
    <cellStyle name="Accent2" xfId="6" xr:uid="{00000000-0005-0000-0000-000006000000}"/>
    <cellStyle name="Accent2 - 20%" xfId="7" xr:uid="{00000000-0005-0000-0000-000007000000}"/>
    <cellStyle name="Accent2 - 40%" xfId="8" xr:uid="{00000000-0005-0000-0000-000008000000}"/>
    <cellStyle name="Accent2 - 60%" xfId="9" xr:uid="{00000000-0005-0000-0000-000009000000}"/>
    <cellStyle name="Accent2_Contagem Estimativa Inicial - Portal do Investidor 1 0 - 20060908" xfId="10" xr:uid="{00000000-0005-0000-0000-00000A000000}"/>
    <cellStyle name="Accent3" xfId="11" xr:uid="{00000000-0005-0000-0000-00000B000000}"/>
    <cellStyle name="Accent3 - 20%" xfId="12" xr:uid="{00000000-0005-0000-0000-00000C000000}"/>
    <cellStyle name="Accent3 - 40%" xfId="13" xr:uid="{00000000-0005-0000-0000-00000D000000}"/>
    <cellStyle name="Accent3 - 60%" xfId="14" xr:uid="{00000000-0005-0000-0000-00000E000000}"/>
    <cellStyle name="Accent3_Contagem Estimativa Inicial - Portal do Investidor 1 0 - 20060908" xfId="15" xr:uid="{00000000-0005-0000-0000-00000F000000}"/>
    <cellStyle name="Accent4" xfId="16" xr:uid="{00000000-0005-0000-0000-000010000000}"/>
    <cellStyle name="Accent4 - 20%" xfId="17" xr:uid="{00000000-0005-0000-0000-000011000000}"/>
    <cellStyle name="Accent4 - 40%" xfId="18" xr:uid="{00000000-0005-0000-0000-000012000000}"/>
    <cellStyle name="Accent4 - 60%" xfId="19" xr:uid="{00000000-0005-0000-0000-000013000000}"/>
    <cellStyle name="Accent4_Contagem Estimativa Inicial - Portal do Investidor 1 0 - 20060908" xfId="20" xr:uid="{00000000-0005-0000-0000-000014000000}"/>
    <cellStyle name="Accent5" xfId="21" xr:uid="{00000000-0005-0000-0000-000015000000}"/>
    <cellStyle name="Accent5 - 20%" xfId="22" xr:uid="{00000000-0005-0000-0000-000016000000}"/>
    <cellStyle name="Accent5 - 40%" xfId="23" xr:uid="{00000000-0005-0000-0000-000017000000}"/>
    <cellStyle name="Accent5 - 60%" xfId="24" xr:uid="{00000000-0005-0000-0000-000018000000}"/>
    <cellStyle name="Accent5_Contagem Estimativa Inicial - Portal do Investidor 1 0 - 20060908" xfId="25" xr:uid="{00000000-0005-0000-0000-000019000000}"/>
    <cellStyle name="Accent6" xfId="26" xr:uid="{00000000-0005-0000-0000-00001A000000}"/>
    <cellStyle name="Accent6 - 20%" xfId="27" xr:uid="{00000000-0005-0000-0000-00001B000000}"/>
    <cellStyle name="Accent6 - 40%" xfId="28" xr:uid="{00000000-0005-0000-0000-00001C000000}"/>
    <cellStyle name="Accent6 - 60%" xfId="29" xr:uid="{00000000-0005-0000-0000-00001D000000}"/>
    <cellStyle name="Accent6_Contagem Estimativa Inicial - Portal do Investidor 1 0 - 20060908" xfId="30" xr:uid="{00000000-0005-0000-0000-00001E000000}"/>
    <cellStyle name="Bad" xfId="31" xr:uid="{00000000-0005-0000-0000-00001F000000}"/>
    <cellStyle name="Calculation" xfId="32" xr:uid="{00000000-0005-0000-0000-000020000000}"/>
    <cellStyle name="Check Cell" xfId="33" xr:uid="{00000000-0005-0000-0000-000021000000}"/>
    <cellStyle name="Emphasis 1" xfId="34" xr:uid="{00000000-0005-0000-0000-000022000000}"/>
    <cellStyle name="Emphasis 2" xfId="35" xr:uid="{00000000-0005-0000-0000-000023000000}"/>
    <cellStyle name="Emphasis 3" xfId="36" xr:uid="{00000000-0005-0000-0000-000024000000}"/>
    <cellStyle name="Good" xfId="37" xr:uid="{00000000-0005-0000-0000-000025000000}"/>
    <cellStyle name="Heading 1" xfId="38" xr:uid="{00000000-0005-0000-0000-000026000000}"/>
    <cellStyle name="Heading 2" xfId="39" xr:uid="{00000000-0005-0000-0000-000027000000}"/>
    <cellStyle name="Heading 3" xfId="40" xr:uid="{00000000-0005-0000-0000-000028000000}"/>
    <cellStyle name="Heading 4" xfId="41" xr:uid="{00000000-0005-0000-0000-000029000000}"/>
    <cellStyle name="Input" xfId="42" xr:uid="{00000000-0005-0000-0000-00002A000000}"/>
    <cellStyle name="Linked Cell" xfId="43" xr:uid="{00000000-0005-0000-0000-00002B000000}"/>
    <cellStyle name="Moeda" xfId="44" builtinId="4"/>
    <cellStyle name="Moeda 2" xfId="57" xr:uid="{00000000-0005-0000-0000-000039000000}"/>
    <cellStyle name="Neutral" xfId="45" xr:uid="{00000000-0005-0000-0000-00002D000000}"/>
    <cellStyle name="Normal" xfId="0" builtinId="0"/>
    <cellStyle name="Normal 2" xfId="46" xr:uid="{00000000-0005-0000-0000-00002E000000}"/>
    <cellStyle name="Normal 3" xfId="47" xr:uid="{00000000-0005-0000-0000-00002F000000}"/>
    <cellStyle name="Normal 3 2" xfId="58" xr:uid="{00000000-0005-0000-0000-00003A000000}"/>
    <cellStyle name="Normal 4" xfId="55" xr:uid="{00000000-0005-0000-0000-000037000000}"/>
    <cellStyle name="Note" xfId="48" xr:uid="{00000000-0005-0000-0000-000030000000}"/>
    <cellStyle name="Note 2" xfId="59" xr:uid="{00000000-0005-0000-0000-00003B000000}"/>
    <cellStyle name="Output" xfId="49" xr:uid="{00000000-0005-0000-0000-000031000000}"/>
    <cellStyle name="Porcentagem" xfId="50" builtinId="5"/>
    <cellStyle name="Porcentagem 2" xfId="51" xr:uid="{00000000-0005-0000-0000-000033000000}"/>
    <cellStyle name="Porcentagem 2 2" xfId="61" xr:uid="{00000000-0005-0000-0000-00003D000000}"/>
    <cellStyle name="Porcentagem 3" xfId="60" xr:uid="{00000000-0005-0000-0000-00003C000000}"/>
    <cellStyle name="Sheet Title" xfId="52" xr:uid="{00000000-0005-0000-0000-000034000000}"/>
    <cellStyle name="Vírgula" xfId="53" builtinId="3"/>
    <cellStyle name="Vírgula 2" xfId="56" xr:uid="{00000000-0005-0000-0000-000038000000}"/>
    <cellStyle name="Vírgula 2 2" xfId="63" xr:uid="{00000000-0005-0000-0000-00003F000000}"/>
    <cellStyle name="Vírgula 3" xfId="62" xr:uid="{00000000-0005-0000-0000-00003E000000}"/>
    <cellStyle name="Warning Text" xfId="54" xr:uid="{00000000-0005-0000-0000-000036000000}"/>
  </cellStyles>
  <dxfs count="10">
    <dxf>
      <fill>
        <patternFill>
          <bgColor rgb="FFFF9966"/>
        </patternFill>
      </fill>
    </dxf>
    <dxf>
      <fill>
        <patternFill>
          <bgColor rgb="FFFF9966"/>
        </patternFill>
      </fill>
    </dxf>
    <dxf>
      <fill>
        <patternFill>
          <bgColor rgb="FFFF9966"/>
        </patternFill>
      </fill>
    </dxf>
    <dxf>
      <fill>
        <patternFill>
          <bgColor theme="1"/>
        </patternFill>
      </fill>
    </dxf>
    <dxf>
      <fill>
        <patternFill>
          <bgColor theme="1"/>
        </patternFill>
      </fill>
    </dxf>
    <dxf>
      <fill>
        <patternFill patternType="darkGrid"/>
      </fill>
    </dxf>
    <dxf>
      <fill>
        <patternFill patternType="darkGrid"/>
      </fill>
    </dxf>
    <dxf>
      <fill>
        <patternFill>
          <bgColor auto="1"/>
        </patternFill>
      </fill>
    </dxf>
    <dxf>
      <fill>
        <patternFill>
          <bgColor theme="6" tint="0.59996337778862885"/>
        </patternFill>
      </fill>
    </dxf>
    <dxf>
      <fill>
        <patternFill>
          <bgColor auto="1"/>
        </patternFill>
      </fill>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pt-BR"/>
  <c:roundedCorners val="1"/>
  <c:style val="2"/>
  <c:chart>
    <c:autoTitleDeleted val="1"/>
    <c:plotArea>
      <c:layout>
        <c:manualLayout>
          <c:layoutTarget val="inner"/>
          <c:xMode val="edge"/>
          <c:yMode val="edge"/>
          <c:x val="2.2497204761113589E-2"/>
          <c:y val="4.9817133656416962E-2"/>
          <c:w val="0.9097510384017532"/>
          <c:h val="0.77519090453499129"/>
        </c:manualLayout>
      </c:layout>
      <c:lineChart>
        <c:grouping val="standard"/>
        <c:varyColors val="0"/>
        <c:ser>
          <c:idx val="1"/>
          <c:order val="0"/>
          <c:tx>
            <c:strRef>
              <c:f>'Redução de Prazo'!$R$26</c:f>
              <c:strCache>
                <c:ptCount val="1"/>
                <c:pt idx="0">
                  <c:v>SISP</c:v>
                </c:pt>
              </c:strCache>
            </c:strRef>
          </c:tx>
          <c:spPr>
            <a:ln>
              <a:prstDash val="solid"/>
            </a:ln>
          </c:spPr>
          <c:marker>
            <c:symbol val="none"/>
          </c:marker>
          <c:dLbls>
            <c:spPr>
              <a:noFill/>
              <a:ln>
                <a:noFill/>
                <a:prstDash val="solid"/>
              </a:ln>
            </c:spPr>
            <c:txPr>
              <a:bodyPr/>
              <a:lstStyle/>
              <a:p>
                <a:pPr>
                  <a:defRPr sz="800">
                    <a:solidFill>
                      <a:srgbClr val="0000FF"/>
                    </a:solidFill>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'Redução de Prazo'!$Q$27:$Q$86</c:f>
              <c:numCache>
                <c:formatCode>0%</c:formatCode>
                <c:ptCount val="6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numCache>
            </c:numRef>
          </c:cat>
          <c:val>
            <c:numRef>
              <c:f>'Redução de Prazo'!$R$27:$R$86</c:f>
              <c:numCache>
                <c:formatCode>_-* #,##0_-;\-* #,##0_-;_-* "-"??_-;_-@_-</c:formatCode>
                <c:ptCount val="60"/>
                <c:pt idx="0">
                  <c:v>9.4974870513428584</c:v>
                </c:pt>
                <c:pt idx="1">
                  <c:v>10.336729939663668</c:v>
                </c:pt>
                <c:pt idx="2">
                  <c:v>11.25013230004161</c:v>
                </c:pt>
                <c:pt idx="3">
                  <c:v>12.244247214274969</c:v>
                </c:pt>
                <c:pt idx="4">
                  <c:v>13.32620682547225</c:v>
                </c:pt>
                <c:pt idx="5">
                  <c:v>14.503773506649086</c:v>
                </c:pt>
                <c:pt idx="6">
                  <c:v>15.785395550824445</c:v>
                </c:pt>
                <c:pt idx="7">
                  <c:v>17.180267782157173</c:v>
                </c:pt>
                <c:pt idx="8">
                  <c:v>18.69839752296939</c:v>
                </c:pt>
                <c:pt idx="9">
                  <c:v>20.350676389928065</c:v>
                </c:pt>
                <c:pt idx="10">
                  <c:v>22.148958434476945</c:v>
                </c:pt>
                <c:pt idx="11">
                  <c:v>24.106145188126657</c:v>
                </c:pt>
                <c:pt idx="12">
                  <c:v>26.236278222749089</c:v>
                </c:pt>
                <c:pt idx="13">
                  <c:v>28.554639889937153</c:v>
                </c:pt>
                <c:pt idx="14">
                  <c:v>31.077862962171093</c:v>
                </c:pt>
                <c:pt idx="15">
                  <c:v>33.824049962396906</c:v>
                </c:pt>
                <c:pt idx="16">
                  <c:v>36.812903038130841</c:v>
                </c:pt>
                <c:pt idx="17">
                  <c:v>40.065865311854225</c:v>
                </c:pt>
                <c:pt idx="18">
                  <c:v>43.606274721797959</c:v>
                </c:pt>
                <c:pt idx="19">
                  <c:v>50</c:v>
                </c:pt>
                <c:pt idx="20">
                  <c:v>51.653280186659927</c:v>
                </c:pt>
                <c:pt idx="21">
                  <c:v>56.217608394821809</c:v>
                </c:pt>
                <c:pt idx="22">
                  <c:v>61.18526223722295</c:v>
                </c:pt>
                <c:pt idx="23">
                  <c:v>66.591881475032011</c:v>
                </c:pt>
                <c:pt idx="24">
                  <c:v>70</c:v>
                </c:pt>
                <c:pt idx="25">
                  <c:v>78.880599957951503</c:v>
                </c:pt>
                <c:pt idx="26">
                  <c:v>85.850862953132875</c:v>
                </c:pt>
                <c:pt idx="27">
                  <c:v>93.437051362774795</c:v>
                </c:pt>
                <c:pt idx="28">
                  <c:v>101.69359127043245</c:v>
                </c:pt>
                <c:pt idx="29">
                  <c:v>110.67971810589327</c:v>
                </c:pt>
                <c:pt idx="30">
                  <c:v>120.45990162176226</c:v>
                </c:pt>
                <c:pt idx="31">
                  <c:v>131.10430842299021</c:v>
                </c:pt>
                <c:pt idx="32">
                  <c:v>142.68930536769835</c:v>
                </c:pt>
                <c:pt idx="33">
                  <c:v>155.29800745088212</c:v>
                </c:pt>
                <c:pt idx="34">
                  <c:v>169.02087410171018</c:v>
                </c:pt>
                <c:pt idx="35">
                  <c:v>183.95635817247503</c:v>
                </c:pt>
                <c:pt idx="36">
                  <c:v>200.21161227527659</c:v>
                </c:pt>
                <c:pt idx="37">
                  <c:v>217.903257533957</c:v>
                </c:pt>
                <c:pt idx="38">
                  <c:v>237.15822026659424</c:v>
                </c:pt>
                <c:pt idx="39">
                  <c:v>258.11464260121767</c:v>
                </c:pt>
                <c:pt idx="40">
                  <c:v>280.92287355783799</c:v>
                </c:pt>
                <c:pt idx="41">
                  <c:v>305.74654770717279</c:v>
                </c:pt>
                <c:pt idx="42">
                  <c:v>332.76375914476068</c:v>
                </c:pt>
                <c:pt idx="43">
                  <c:v>362.16833920298285</c:v>
                </c:pt>
                <c:pt idx="44">
                  <c:v>394.17124706776224</c:v>
                </c:pt>
                <c:pt idx="45">
                  <c:v>429.00208327673522</c:v>
                </c:pt>
                <c:pt idx="46">
                  <c:v>466.91073695727931</c:v>
                </c:pt>
                <c:pt idx="47">
                  <c:v>508.16917862228996</c:v>
                </c:pt>
                <c:pt idx="48">
                  <c:v>553.0734113858698</c:v>
                </c:pt>
                <c:pt idx="49">
                  <c:v>601.94559459766924</c:v>
                </c:pt>
                <c:pt idx="50">
                  <c:v>655.13635513160523</c:v>
                </c:pt>
                <c:pt idx="51">
                  <c:v>713.02730291098419</c:v>
                </c:pt>
                <c:pt idx="52">
                  <c:v>776.03376871732564</c:v>
                </c:pt>
                <c:pt idx="53">
                  <c:v>844.60778392493023</c:v>
                </c:pt>
                <c:pt idx="54">
                  <c:v>919.24132353888274</c:v>
                </c:pt>
                <c:pt idx="55">
                  <c:v>1000.4698358032441</c:v>
                </c:pt>
                <c:pt idx="56">
                  <c:v>1088.8760837021161</c:v>
                </c:pt>
                <c:pt idx="57">
                  <c:v>1185.0943259139242</c:v>
                </c:pt>
                <c:pt idx="58">
                  <c:v>1289.8148672145812</c:v>
                </c:pt>
                <c:pt idx="59">
                  <c:v>1403.7890109758237</c:v>
                </c:pt>
              </c:numCache>
            </c:numRef>
          </c:val>
          <c:smooth val="0"/>
          <c:extLst>
            <c:ext xmlns:c16="http://schemas.microsoft.com/office/drawing/2014/chart" uri="{C3380CC4-5D6E-409C-BE32-E72D297353CC}">
              <c16:uniqueId val="{00000000-BF29-4F7A-BF21-DB4C2C3ED1C1}"/>
            </c:ext>
          </c:extLst>
        </c:ser>
        <c:ser>
          <c:idx val="2"/>
          <c:order val="1"/>
          <c:tx>
            <c:strRef>
              <c:f>'Redução de Prazo'!$S$26</c:f>
              <c:strCache>
                <c:ptCount val="1"/>
                <c:pt idx="0">
                  <c:v>Curva
Linear</c:v>
                </c:pt>
              </c:strCache>
            </c:strRef>
          </c:tx>
          <c:spPr>
            <a:ln>
              <a:prstDash val="solid"/>
            </a:ln>
          </c:spPr>
          <c:marker>
            <c:symbol val="none"/>
          </c:marker>
          <c:cat>
            <c:numRef>
              <c:f>'Redução de Prazo'!$Q$27:$Q$86</c:f>
              <c:numCache>
                <c:formatCode>0%</c:formatCode>
                <c:ptCount val="6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numCache>
            </c:numRef>
          </c:cat>
          <c:val>
            <c:numRef>
              <c:f>'Redução de Prazo'!$S$27:$S$86</c:f>
              <c:numCache>
                <c:formatCode>_-* #,##0_-;\-* #,##0_-;_-* "-"??_-;_-@_-</c:formatCode>
                <c:ptCount val="60"/>
                <c:pt idx="0">
                  <c:v>2.6222222222222218</c:v>
                </c:pt>
                <c:pt idx="1">
                  <c:v>5.2444444444444436</c:v>
                </c:pt>
                <c:pt idx="2">
                  <c:v>7.8666666666666645</c:v>
                </c:pt>
                <c:pt idx="3">
                  <c:v>10.488888888888887</c:v>
                </c:pt>
                <c:pt idx="4">
                  <c:v>13.111111111111109</c:v>
                </c:pt>
                <c:pt idx="5">
                  <c:v>15.733333333333329</c:v>
                </c:pt>
                <c:pt idx="6">
                  <c:v>18.355555555555554</c:v>
                </c:pt>
                <c:pt idx="7">
                  <c:v>20.977777777777774</c:v>
                </c:pt>
                <c:pt idx="8">
                  <c:v>23.599999999999994</c:v>
                </c:pt>
                <c:pt idx="9">
                  <c:v>26.222222222222218</c:v>
                </c:pt>
                <c:pt idx="10">
                  <c:v>28.844444444444438</c:v>
                </c:pt>
                <c:pt idx="11">
                  <c:v>31.466666666666658</c:v>
                </c:pt>
                <c:pt idx="12">
                  <c:v>34.088888888888881</c:v>
                </c:pt>
                <c:pt idx="13">
                  <c:v>36.711111111111109</c:v>
                </c:pt>
                <c:pt idx="14">
                  <c:v>39.333333333333321</c:v>
                </c:pt>
                <c:pt idx="15">
                  <c:v>41.955555555555549</c:v>
                </c:pt>
                <c:pt idx="16">
                  <c:v>44.577777777777776</c:v>
                </c:pt>
                <c:pt idx="17">
                  <c:v>47.199999999999989</c:v>
                </c:pt>
                <c:pt idx="18">
                  <c:v>49.822222222222216</c:v>
                </c:pt>
                <c:pt idx="19">
                  <c:v>52.444444444444436</c:v>
                </c:pt>
                <c:pt idx="20">
                  <c:v>55.066666666666656</c:v>
                </c:pt>
                <c:pt idx="21">
                  <c:v>57.688888888888876</c:v>
                </c:pt>
                <c:pt idx="22">
                  <c:v>60.311111111111103</c:v>
                </c:pt>
                <c:pt idx="23">
                  <c:v>62.933333333333316</c:v>
                </c:pt>
                <c:pt idx="24">
                  <c:v>65.555555555555543</c:v>
                </c:pt>
                <c:pt idx="25">
                  <c:v>68.177777777777763</c:v>
                </c:pt>
                <c:pt idx="26">
                  <c:v>70.8</c:v>
                </c:pt>
                <c:pt idx="27">
                  <c:v>73.422222222222217</c:v>
                </c:pt>
                <c:pt idx="28">
                  <c:v>76.044444444444423</c:v>
                </c:pt>
                <c:pt idx="29">
                  <c:v>78.666666666666643</c:v>
                </c:pt>
                <c:pt idx="30">
                  <c:v>81.288888888888877</c:v>
                </c:pt>
                <c:pt idx="31">
                  <c:v>83.911111111111097</c:v>
                </c:pt>
                <c:pt idx="32">
                  <c:v>86.533333333333317</c:v>
                </c:pt>
                <c:pt idx="33">
                  <c:v>89.155555555555551</c:v>
                </c:pt>
                <c:pt idx="34">
                  <c:v>91.777777777777757</c:v>
                </c:pt>
                <c:pt idx="35">
                  <c:v>94.399999999999977</c:v>
                </c:pt>
                <c:pt idx="36">
                  <c:v>97.022222222222197</c:v>
                </c:pt>
                <c:pt idx="37">
                  <c:v>99.644444444444431</c:v>
                </c:pt>
                <c:pt idx="38">
                  <c:v>102.26666666666665</c:v>
                </c:pt>
                <c:pt idx="39">
                  <c:v>104.88888888888887</c:v>
                </c:pt>
                <c:pt idx="40">
                  <c:v>107.51111111111108</c:v>
                </c:pt>
                <c:pt idx="41">
                  <c:v>110.13333333333331</c:v>
                </c:pt>
                <c:pt idx="42">
                  <c:v>112.75555555555553</c:v>
                </c:pt>
                <c:pt idx="43">
                  <c:v>115.37777777777775</c:v>
                </c:pt>
                <c:pt idx="44">
                  <c:v>117.99999999999999</c:v>
                </c:pt>
                <c:pt idx="45">
                  <c:v>120.62222222222221</c:v>
                </c:pt>
                <c:pt idx="46">
                  <c:v>123.24444444444441</c:v>
                </c:pt>
                <c:pt idx="47">
                  <c:v>125.86666666666663</c:v>
                </c:pt>
                <c:pt idx="48">
                  <c:v>128.48888888888885</c:v>
                </c:pt>
                <c:pt idx="49">
                  <c:v>131.11111111111109</c:v>
                </c:pt>
                <c:pt idx="50">
                  <c:v>133.73333333333332</c:v>
                </c:pt>
                <c:pt idx="51">
                  <c:v>136.35555555555553</c:v>
                </c:pt>
                <c:pt idx="52">
                  <c:v>138.97777777777776</c:v>
                </c:pt>
                <c:pt idx="53">
                  <c:v>141.6</c:v>
                </c:pt>
                <c:pt idx="54">
                  <c:v>144.2222222222222</c:v>
                </c:pt>
                <c:pt idx="55">
                  <c:v>146.84444444444443</c:v>
                </c:pt>
                <c:pt idx="56">
                  <c:v>149.46666666666661</c:v>
                </c:pt>
                <c:pt idx="57">
                  <c:v>152.08888888888885</c:v>
                </c:pt>
                <c:pt idx="58">
                  <c:v>154.71111111111108</c:v>
                </c:pt>
                <c:pt idx="59">
                  <c:v>157.33333333333329</c:v>
                </c:pt>
              </c:numCache>
            </c:numRef>
          </c:val>
          <c:smooth val="0"/>
          <c:extLst>
            <c:ext xmlns:c16="http://schemas.microsoft.com/office/drawing/2014/chart" uri="{C3380CC4-5D6E-409C-BE32-E72D297353CC}">
              <c16:uniqueId val="{00000001-BF29-4F7A-BF21-DB4C2C3ED1C1}"/>
            </c:ext>
          </c:extLst>
        </c:ser>
        <c:dLbls>
          <c:showLegendKey val="0"/>
          <c:showVal val="0"/>
          <c:showCatName val="0"/>
          <c:showSerName val="0"/>
          <c:showPercent val="0"/>
          <c:showBubbleSize val="0"/>
        </c:dLbls>
        <c:smooth val="0"/>
        <c:axId val="937756560"/>
        <c:axId val="937766352"/>
      </c:lineChart>
      <c:catAx>
        <c:axId val="937756560"/>
        <c:scaling>
          <c:orientation val="minMax"/>
        </c:scaling>
        <c:delete val="0"/>
        <c:axPos val="b"/>
        <c:majorGridlines/>
        <c:title>
          <c:tx>
            <c:rich>
              <a:bodyPr/>
              <a:lstStyle/>
              <a:p>
                <a:pPr>
                  <a:defRPr/>
                </a:pPr>
                <a:r>
                  <a:rPr lang="en-US"/>
                  <a:t>Redução</a:t>
                </a:r>
                <a:r>
                  <a:rPr lang="en-US" baseline="0"/>
                  <a:t> do Prazo</a:t>
                </a:r>
                <a:endParaRPr lang="en-US"/>
              </a:p>
            </c:rich>
          </c:tx>
          <c:overlay val="0"/>
        </c:title>
        <c:numFmt formatCode="0%" sourceLinked="1"/>
        <c:majorTickMark val="none"/>
        <c:minorTickMark val="none"/>
        <c:tickLblPos val="nextTo"/>
        <c:txPr>
          <a:bodyPr rot="-5400000" vert="horz"/>
          <a:lstStyle/>
          <a:p>
            <a:pPr>
              <a:defRPr sz="700"/>
            </a:pPr>
            <a:endParaRPr lang="pt-BR"/>
          </a:p>
        </c:txPr>
        <c:crossAx val="937766352"/>
        <c:crosses val="autoZero"/>
        <c:auto val="1"/>
        <c:lblAlgn val="ctr"/>
        <c:lblOffset val="100"/>
        <c:noMultiLvlLbl val="0"/>
      </c:catAx>
      <c:valAx>
        <c:axId val="937766352"/>
        <c:scaling>
          <c:orientation val="minMax"/>
        </c:scaling>
        <c:delete val="1"/>
        <c:axPos val="l"/>
        <c:title>
          <c:tx>
            <c:rich>
              <a:bodyPr/>
              <a:lstStyle/>
              <a:p>
                <a:pPr>
                  <a:defRPr/>
                </a:pPr>
                <a:r>
                  <a:rPr lang="en-US"/>
                  <a:t>Aumento na contagem</a:t>
                </a:r>
              </a:p>
            </c:rich>
          </c:tx>
          <c:overlay val="0"/>
        </c:title>
        <c:numFmt formatCode="_-* #,##0_-;\-* #,##0_-;_-* &quot;-&quot;??_-;_-@_-" sourceLinked="1"/>
        <c:majorTickMark val="out"/>
        <c:minorTickMark val="none"/>
        <c:tickLblPos val="nextTo"/>
        <c:crossAx val="937756560"/>
        <c:crosses val="autoZero"/>
        <c:crossBetween val="between"/>
      </c:valAx>
    </c:plotArea>
    <c:legend>
      <c:legendPos val="r"/>
      <c:layout>
        <c:manualLayout>
          <c:xMode val="edge"/>
          <c:yMode val="edge"/>
          <c:x val="0.9287958616823383"/>
          <c:y val="0.33121959755030622"/>
          <c:w val="6.9914454210859484E-2"/>
          <c:h val="0.18365800165390289"/>
        </c:manualLayout>
      </c:layout>
      <c:overlay val="0"/>
    </c:legend>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247650</xdr:colOff>
      <xdr:row>18</xdr:row>
      <xdr:rowOff>114301</xdr:rowOff>
    </xdr:from>
    <xdr:to>
      <xdr:col>15</xdr:col>
      <xdr:colOff>171450</xdr:colOff>
      <xdr:row>41</xdr:row>
      <xdr:rowOff>76201</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
  <sheetViews>
    <sheetView workbookViewId="0">
      <selection activeCell="T33" sqref="T33"/>
    </sheetView>
  </sheetViews>
  <sheetFormatPr baseColWidth="10" defaultColWidth="8.83203125" defaultRowHeight="13"/>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sheetPr>
  <dimension ref="A1:G31"/>
  <sheetViews>
    <sheetView showGridLines="0" zoomScaleNormal="100" workbookViewId="0">
      <selection activeCell="B4" sqref="B4:D4"/>
    </sheetView>
  </sheetViews>
  <sheetFormatPr baseColWidth="10" defaultColWidth="8.83203125" defaultRowHeight="15"/>
  <cols>
    <col min="1" max="1" width="25.1640625" style="139" bestFit="1" customWidth="1"/>
    <col min="2" max="2" width="10" style="139" customWidth="1"/>
    <col min="3" max="3" width="14.1640625" style="139" customWidth="1"/>
    <col min="4" max="4" width="6.5" style="139" customWidth="1"/>
    <col min="5" max="5" width="27" style="139" customWidth="1"/>
    <col min="6" max="6" width="8.1640625" style="139" customWidth="1"/>
    <col min="7" max="7" width="23.5" style="139" customWidth="1"/>
    <col min="8" max="9" width="8.83203125" style="139" customWidth="1"/>
    <col min="10" max="16384" width="8.83203125" style="139"/>
  </cols>
  <sheetData>
    <row r="1" spans="1:7" s="138" customFormat="1" ht="69" customHeight="1">
      <c r="A1" s="307" t="s">
        <v>0</v>
      </c>
      <c r="B1" s="308"/>
      <c r="C1" s="308"/>
      <c r="D1" s="308"/>
      <c r="E1" s="308"/>
      <c r="F1" s="308"/>
      <c r="G1" s="308"/>
    </row>
    <row r="2" spans="1:7" ht="9" customHeight="1"/>
    <row r="3" spans="1:7" ht="15.75" customHeight="1">
      <c r="A3" s="298" t="s">
        <v>1</v>
      </c>
      <c r="B3" s="262"/>
      <c r="C3" s="262"/>
      <c r="D3" s="262"/>
      <c r="E3" s="262"/>
      <c r="F3" s="262"/>
      <c r="G3" s="263"/>
    </row>
    <row r="4" spans="1:7">
      <c r="A4" s="140" t="s">
        <v>2</v>
      </c>
      <c r="B4" s="305" t="s">
        <v>3</v>
      </c>
      <c r="C4" s="262"/>
      <c r="D4" s="263"/>
      <c r="E4" s="140" t="s">
        <v>4</v>
      </c>
      <c r="F4" s="288" t="s">
        <v>5</v>
      </c>
      <c r="G4" s="263"/>
    </row>
    <row r="5" spans="1:7">
      <c r="A5" s="140" t="s">
        <v>6</v>
      </c>
      <c r="B5" s="288" t="s">
        <v>7</v>
      </c>
      <c r="C5" s="262"/>
      <c r="D5" s="263"/>
      <c r="E5" s="289" t="s">
        <v>8</v>
      </c>
      <c r="F5" s="304" t="s">
        <v>9</v>
      </c>
      <c r="G5" s="279"/>
    </row>
    <row r="6" spans="1:7">
      <c r="A6" s="221" t="s">
        <v>10</v>
      </c>
      <c r="B6" s="305" t="s">
        <v>11</v>
      </c>
      <c r="C6" s="262"/>
      <c r="D6" s="263"/>
      <c r="E6" s="257"/>
      <c r="F6" s="282"/>
      <c r="G6" s="283"/>
    </row>
    <row r="7" spans="1:7">
      <c r="A7" s="140" t="s">
        <v>12</v>
      </c>
      <c r="B7" s="311" t="s">
        <v>13</v>
      </c>
      <c r="C7" s="295"/>
      <c r="D7" s="296"/>
      <c r="E7" s="140" t="s">
        <v>14</v>
      </c>
      <c r="F7" s="299">
        <v>44619</v>
      </c>
      <c r="G7" s="296"/>
    </row>
    <row r="8" spans="1:7">
      <c r="A8" s="140" t="s">
        <v>15</v>
      </c>
      <c r="B8" s="294" t="str">
        <f>IF($B$5="Detalhada",IF('AFP - Detalhada'!R5&lt;&gt;"",'AFP - Detalhada'!R5,""),IF($B$5="Estimativa",IF('AFP - Estimativa'!K5&lt;&gt;"",'AFP - Estimativa'!K5,""),IF($B$5="Indicativa",IF('AFP - Indicativa'!H5&lt;&gt;"",'AFP - Indicativa'!H5,""),"")))</f>
        <v/>
      </c>
      <c r="C8" s="295"/>
      <c r="D8" s="296"/>
      <c r="E8" s="140" t="s">
        <v>16</v>
      </c>
      <c r="F8" s="299" t="str">
        <f>IF($B$5="Detalhada",IF('AFP - Detalhada'!R6&lt;&gt;"",'AFP - Detalhada'!R6,""),IF($B$5="Estimativa",IF('AFP - Estimativa'!K6&lt;&gt;"",'AFP - Estimativa'!K6,""),IF($B$5="Indicativa",IF('AFP - Indicativa'!H6&lt;&gt;"",'AFP - Indicativa'!H6,""),"")))</f>
        <v/>
      </c>
      <c r="G8" s="296"/>
    </row>
    <row r="10" spans="1:7" ht="15.75" customHeight="1">
      <c r="A10" s="298" t="s">
        <v>17</v>
      </c>
      <c r="B10" s="262"/>
      <c r="C10" s="262"/>
      <c r="D10" s="262"/>
      <c r="E10" s="262"/>
      <c r="F10" s="262"/>
      <c r="G10" s="263"/>
    </row>
    <row r="11" spans="1:7" ht="42.5" customHeight="1">
      <c r="A11" s="292" t="str">
        <f>IF(Tipo_Contagem&lt;&gt;"","Obtenção do tamanho funcional (APF) "&amp;IF(Tipo_Contagem="Estimativa","Estimado", IF(Tipo_Contagem="Indicativa", "Indicativo", "Detalhado"))&amp;" das funcionalidades solicitadas/entregues na OS "&amp;IF(B4&lt;&gt;"",B4,"em questão"),"")</f>
        <v>Obtenção do tamanho funcional (APF) Detalhado das funcionalidades solicitadas/entregues na OS Premio IEL de Talentos</v>
      </c>
      <c r="B11" s="262"/>
      <c r="C11" s="262"/>
      <c r="D11" s="262"/>
      <c r="E11" s="262"/>
      <c r="F11" s="262"/>
      <c r="G11" s="263"/>
    </row>
    <row r="13" spans="1:7" ht="15.75" customHeight="1">
      <c r="A13" s="298" t="s">
        <v>18</v>
      </c>
      <c r="B13" s="262"/>
      <c r="C13" s="262"/>
      <c r="D13" s="262"/>
      <c r="E13" s="262"/>
      <c r="F13" s="262"/>
      <c r="G13" s="263"/>
    </row>
    <row r="14" spans="1:7" ht="47" customHeight="1">
      <c r="A14" s="292"/>
      <c r="B14" s="262"/>
      <c r="C14" s="262"/>
      <c r="D14" s="262"/>
      <c r="E14" s="262"/>
      <c r="F14" s="262"/>
      <c r="G14" s="263"/>
    </row>
    <row r="16" spans="1:7" ht="15.75" customHeight="1">
      <c r="A16" s="298" t="s">
        <v>19</v>
      </c>
      <c r="B16" s="262"/>
      <c r="C16" s="263"/>
      <c r="E16" s="298" t="s">
        <v>20</v>
      </c>
      <c r="F16" s="262"/>
      <c r="G16" s="263"/>
    </row>
    <row r="17" spans="1:7" ht="15" customHeight="1">
      <c r="A17" s="289" t="s">
        <v>21</v>
      </c>
      <c r="B17" s="263"/>
      <c r="C17" s="141">
        <f>IF((IF($B$5="Detalhada",SUMIF('AFP - Detalhada'!$G$10:$G$192,"ALI",'AFP - Detalhada'!$S$10:$S$192),IF($B$5="Estimativa",SUMIF('AFP - Estimativa'!$G$10:$G$383,"ALI",'AFP - Estimativa'!$J$10:$J$383)*(1+'AFP - Estimativa'!$C$6),IF($B$5="Indicativa",SUMIF('AFP - Indicativa'!$F$10:$F$108,"ALI",'AFP - Indicativa'!$G$10:$G$108)*(1+'AFP - Indicativa'!$D$6))))),IF($B$5="Detalhada",SUMIF('AFP - Detalhada'!$G$10:$G$192,"ALI",'AFP - Detalhada'!$S$10:$S$192),IF($B$5="Estimativa",SUMIF('AFP - Estimativa'!$G$10:$G$383,"ALI",'AFP - Estimativa'!$J$10:$J$383)*(1+'AFP - Estimativa'!$C$6),IF($B$5="Indicativa",SUMIF('AFP - Indicativa'!$F$10:$F$108,"ALI",'AFP - Indicativa'!$G$10:$G$108)*(1+'AFP - Indicativa'!$D$6)))),"")</f>
        <v>92.5</v>
      </c>
      <c r="E17" s="302" t="s">
        <v>22</v>
      </c>
      <c r="F17" s="278"/>
      <c r="G17" s="279"/>
    </row>
    <row r="18" spans="1:7" ht="15" customHeight="1">
      <c r="A18" s="289" t="s">
        <v>23</v>
      </c>
      <c r="B18" s="263"/>
      <c r="C18" s="141" t="str">
        <f>IF((IF($B$5="Detalhada",SUMIF('AFP - Detalhada'!$G$10:$G$192,"AIE",'AFP - Detalhada'!$S$10:$S$192),IF($B$5="Estimativa",SUMIF('AFP - Estimativa'!$G$10:$G$383,"AIE",'AFP - Estimativa'!$J$10:$J$383)*(1+'AFP - Estimativa'!$C$6),IF($B$5="Indicativa",SUMIF('AFP - Indicativa'!$F$10:$F$108,"AIE",'AFP - Indicativa'!$G$10:$G$108)*(1+'AFP - Indicativa'!$D$6))))),(IF($B$5="Detalhada",SUMIF('AFP - Detalhada'!$G$10:$G$192,"AIE",'AFP - Detalhada'!$S$10:$S$192),IF($B$5="Estimativa",SUMIF('AFP - Estimativa'!$G$10:$G$383,"AIE",'AFP - Estimativa'!$J$10:$J$383)*(1+'AFP - Estimativa'!$C$6),IF($B$5="Indicativa",SUMIF('AFP - Indicativa'!$F$10:$F$108,"AIE",'AFP - Indicativa'!$G$10:$G$108)*(1+'AFP - Indicativa'!$D$6))))),"")</f>
        <v/>
      </c>
      <c r="E18" s="282"/>
      <c r="F18" s="267"/>
      <c r="G18" s="283"/>
    </row>
    <row r="19" spans="1:7">
      <c r="A19" s="289" t="s">
        <v>24</v>
      </c>
      <c r="B19" s="263"/>
      <c r="C19" s="141">
        <f>IF($B$5="Detalhada",SUMIF('AFP - Detalhada'!$G$10:$G$192,"CE",'AFP - Detalhada'!$S$10:$S$192),IF($B$5="Estimativa",SUMIF('AFP - Estimativa'!$G$10:$G$383,"CE",'AFP - Estimativa'!$J$10:$J$383)*(1+'AFP - Estimativa'!$C$6),""))</f>
        <v>122.5</v>
      </c>
      <c r="E19" s="293" t="s">
        <v>25</v>
      </c>
      <c r="F19" s="263"/>
      <c r="G19" s="222">
        <v>0.2</v>
      </c>
    </row>
    <row r="20" spans="1:7">
      <c r="A20" s="289" t="s">
        <v>26</v>
      </c>
      <c r="B20" s="263"/>
      <c r="C20" s="141">
        <f>IF($B$5="Detalhada",SUMIF('AFP - Detalhada'!$G$10:$G$192,"EE",'AFP - Detalhada'!$S$10:$S$192),IF($B$5="Estimativa",SUMIF('AFP - Estimativa'!$G$10:$G$383,"EE",'AFP - Estimativa'!$J$10:$J$383)*(1+'AFP - Estimativa'!$C$6),""))</f>
        <v>205</v>
      </c>
      <c r="E20" s="303" t="s">
        <v>27</v>
      </c>
      <c r="F20" s="279"/>
      <c r="G20" s="309">
        <v>0.6</v>
      </c>
    </row>
    <row r="21" spans="1:7">
      <c r="A21" s="289" t="s">
        <v>28</v>
      </c>
      <c r="B21" s="263"/>
      <c r="C21" s="141">
        <f>IF($B$5="Detalhada",SUMIF('AFP - Detalhada'!$G$10:$G$192,"SE",'AFP - Detalhada'!$S$10:$S$192),IF($B$5="Estimativa",SUMIF('AFP - Estimativa'!$G$10:$G$383,"SE",'AFP - Estimativa'!$J$10:$J$383)*(1+'AFP - Estimativa'!$C$6),""))</f>
        <v>82.5</v>
      </c>
      <c r="E21" s="273"/>
      <c r="F21" s="281"/>
      <c r="G21" s="310"/>
    </row>
    <row r="22" spans="1:7">
      <c r="A22" s="303" t="s">
        <v>29</v>
      </c>
      <c r="B22" s="263"/>
      <c r="C22" s="152">
        <f>IF($B$5="Detalhada",SUMIF('AFP - Detalhada'!$G$10:$G$198,"INM",'AFP - Detalhada'!$S$10:$S$198),IF($B$5="Estimativa",SUMIF('AFP - Estimativa'!$G$10:$G$383,"INM",'AFP - Estimativa'!$J$10:$J$383)*(1+'AFP - Estimativa'!$C$6),""))</f>
        <v>0</v>
      </c>
      <c r="E22" s="273"/>
      <c r="F22" s="281"/>
      <c r="G22" s="310"/>
    </row>
    <row r="23" spans="1:7">
      <c r="A23" s="303" t="s">
        <v>30</v>
      </c>
      <c r="B23" s="263"/>
      <c r="C23" s="152">
        <f>UST!K404</f>
        <v>0</v>
      </c>
      <c r="E23" s="282"/>
      <c r="F23" s="283"/>
      <c r="G23" s="257"/>
    </row>
    <row r="24" spans="1:7" ht="15.75" customHeight="1">
      <c r="A24" s="290" t="s">
        <v>31</v>
      </c>
      <c r="B24" s="263"/>
      <c r="C24" s="147">
        <f>SUM(C17:C23)</f>
        <v>502.5</v>
      </c>
      <c r="E24" s="293" t="s">
        <v>32</v>
      </c>
      <c r="F24" s="263"/>
      <c r="G24" s="223">
        <v>0.2</v>
      </c>
    </row>
    <row r="25" spans="1:7" ht="15.75" customHeight="1">
      <c r="E25" s="306" t="s">
        <v>33</v>
      </c>
      <c r="F25" s="263"/>
      <c r="G25" s="143">
        <f>SUM(G19:G24)</f>
        <v>1</v>
      </c>
    </row>
    <row r="26" spans="1:7" ht="15.75" customHeight="1">
      <c r="A26" s="298" t="s">
        <v>34</v>
      </c>
      <c r="B26" s="278"/>
      <c r="C26" s="279"/>
      <c r="E26" s="144"/>
      <c r="F26" s="144"/>
      <c r="G26" s="145"/>
    </row>
    <row r="27" spans="1:7" ht="15.75" customHeight="1">
      <c r="A27" s="282"/>
      <c r="B27" s="267"/>
      <c r="C27" s="283"/>
      <c r="E27" s="301" t="str">
        <f>CONCATENATE("Quantidade Final (A) x ",IF(F4&lt;&gt;"",IF(F4="Desenvolvimento ou manutenção","(E1)","(E2)"),""))</f>
        <v>Quantidade Final (A) x (E1)</v>
      </c>
      <c r="F27" s="263"/>
      <c r="G27" s="147">
        <f>C24*IF(F4&lt;&gt;"",IF(F4="Desenvolvimento ou manutenção",G25,C31),0)</f>
        <v>502.5</v>
      </c>
    </row>
    <row r="28" spans="1:7" ht="15.75" customHeight="1">
      <c r="A28" s="297" t="s">
        <v>35</v>
      </c>
      <c r="B28" s="278"/>
      <c r="C28" s="279"/>
      <c r="E28" s="301" t="s">
        <v>36</v>
      </c>
      <c r="F28" s="263"/>
      <c r="G28" s="146">
        <v>1</v>
      </c>
    </row>
    <row r="29" spans="1:7" ht="15.75" customHeight="1">
      <c r="A29" s="282"/>
      <c r="B29" s="267"/>
      <c r="C29" s="283"/>
      <c r="E29" s="300" t="s">
        <v>37</v>
      </c>
      <c r="F29" s="263"/>
      <c r="G29" s="147">
        <f>G27*G28</f>
        <v>502.5</v>
      </c>
    </row>
    <row r="30" spans="1:7">
      <c r="A30" s="291" t="s">
        <v>38</v>
      </c>
      <c r="B30" s="263"/>
      <c r="C30" s="142">
        <v>0.2</v>
      </c>
    </row>
    <row r="31" spans="1:7" ht="15.75" customHeight="1">
      <c r="A31" s="306" t="s">
        <v>39</v>
      </c>
      <c r="B31" s="263"/>
      <c r="C31" s="143">
        <f>SUM(C30:C30)</f>
        <v>0.2</v>
      </c>
    </row>
  </sheetData>
  <mergeCells count="39">
    <mergeCell ref="A31:B31"/>
    <mergeCell ref="A16:C16"/>
    <mergeCell ref="B5:D5"/>
    <mergeCell ref="A1:G1"/>
    <mergeCell ref="B4:D4"/>
    <mergeCell ref="E27:F27"/>
    <mergeCell ref="G20:G23"/>
    <mergeCell ref="A17:B17"/>
    <mergeCell ref="A23:B23"/>
    <mergeCell ref="B7:D7"/>
    <mergeCell ref="A22:B22"/>
    <mergeCell ref="A26:C27"/>
    <mergeCell ref="A20:B20"/>
    <mergeCell ref="A3:G3"/>
    <mergeCell ref="E25:F25"/>
    <mergeCell ref="A19:B19"/>
    <mergeCell ref="E20:F23"/>
    <mergeCell ref="F5:G6"/>
    <mergeCell ref="B6:D6"/>
    <mergeCell ref="A11:G11"/>
    <mergeCell ref="E16:G16"/>
    <mergeCell ref="F8:G8"/>
    <mergeCell ref="A21:B21"/>
    <mergeCell ref="F4:G4"/>
    <mergeCell ref="E5:E6"/>
    <mergeCell ref="A24:B24"/>
    <mergeCell ref="A30:B30"/>
    <mergeCell ref="A14:G14"/>
    <mergeCell ref="E24:F24"/>
    <mergeCell ref="B8:D8"/>
    <mergeCell ref="A28:C29"/>
    <mergeCell ref="A10:G10"/>
    <mergeCell ref="F7:G7"/>
    <mergeCell ref="A13:G13"/>
    <mergeCell ref="E29:F29"/>
    <mergeCell ref="E19:F19"/>
    <mergeCell ref="E28:F28"/>
    <mergeCell ref="E17:G18"/>
    <mergeCell ref="A18:B18"/>
  </mergeCells>
  <dataValidations count="2">
    <dataValidation type="list" allowBlank="1" showInputMessage="1" showErrorMessage="1" sqref="B5:D5" xr:uid="{00000000-0002-0000-0100-000000000000}">
      <formula1>"Indicativa,Estimativa,Detalhada"</formula1>
    </dataValidation>
    <dataValidation type="list" allowBlank="1" showInputMessage="1" showErrorMessage="1" sqref="F4:G4" xr:uid="{00000000-0002-0000-0100-000001000000}">
      <formula1>"Desenvolvimento ou Manutenção,Redocumentação"</formula1>
    </dataValidation>
  </dataValidations>
  <pageMargins left="0.511811024" right="0.511811024" top="0.78740157499999996" bottom="0.78740157499999996" header="0.31496062000000002" footer="0.31496062000000002"/>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AP207"/>
  <sheetViews>
    <sheetView showGridLines="0" tabSelected="1" topLeftCell="C155" zoomScaleNormal="100" workbookViewId="0">
      <selection activeCell="F167" sqref="F167"/>
    </sheetView>
  </sheetViews>
  <sheetFormatPr baseColWidth="10" defaultColWidth="8.83203125" defaultRowHeight="13"/>
  <cols>
    <col min="1" max="1" width="2" style="21" customWidth="1"/>
    <col min="2" max="2" width="68" style="246" bestFit="1" customWidth="1"/>
    <col min="3" max="3" width="8.1640625" style="246" customWidth="1"/>
    <col min="4" max="4" width="24.1640625" style="247" customWidth="1"/>
    <col min="5" max="5" width="42.1640625" style="248" bestFit="1" customWidth="1"/>
    <col min="6" max="6" width="44.6640625" style="249" bestFit="1" customWidth="1"/>
    <col min="7" max="7" width="12.1640625" style="250" bestFit="1" customWidth="1"/>
    <col min="8" max="8" width="6.1640625" style="250" customWidth="1"/>
    <col min="9" max="9" width="8" style="250" customWidth="1"/>
    <col min="10" max="10" width="27.1640625" style="248" customWidth="1"/>
    <col min="11" max="11" width="5.83203125" style="250" customWidth="1"/>
    <col min="12" max="12" width="34.5" style="248" bestFit="1" customWidth="1"/>
    <col min="13" max="13" width="7.1640625" style="246" hidden="1" customWidth="1"/>
    <col min="14" max="14" width="5.1640625" style="246" hidden="1" customWidth="1"/>
    <col min="15" max="15" width="22.1640625" style="250" customWidth="1"/>
    <col min="16" max="16" width="5.1640625" style="246" hidden="1" customWidth="1"/>
    <col min="17" max="17" width="5.83203125" style="246" hidden="1" customWidth="1"/>
    <col min="18" max="18" width="8" style="250" customWidth="1"/>
    <col min="19" max="19" width="8.1640625" style="246" customWidth="1"/>
    <col min="20" max="20" width="32.83203125" style="246" customWidth="1"/>
    <col min="21" max="21" width="40.5" style="246" bestFit="1" customWidth="1"/>
    <col min="22" max="22" width="4.1640625" style="21" customWidth="1"/>
    <col min="23" max="23" width="14" style="34" customWidth="1"/>
    <col min="24" max="24" width="31.1640625" style="21" bestFit="1" customWidth="1"/>
    <col min="25" max="25" width="8.1640625" style="21" customWidth="1"/>
    <col min="26" max="26" width="9.5" style="21" customWidth="1"/>
    <col min="27" max="27" width="9.1640625" style="21" customWidth="1"/>
    <col min="28" max="28" width="11.1640625" style="21" customWidth="1"/>
    <col min="29" max="29" width="9.1640625" style="21" customWidth="1"/>
    <col min="30" max="30" width="11.1640625" style="21" customWidth="1"/>
    <col min="31" max="32" width="9.1640625" style="21" hidden="1" customWidth="1"/>
    <col min="33" max="33" width="14.1640625" style="21" customWidth="1"/>
    <col min="34" max="35" width="9.1640625" style="21" hidden="1" customWidth="1"/>
    <col min="36" max="36" width="8.83203125" style="21" customWidth="1"/>
    <col min="37" max="37" width="36.5" style="21" customWidth="1"/>
    <col min="38" max="38" width="5.1640625" style="21" customWidth="1"/>
    <col min="39" max="39" width="40.1640625" style="21" customWidth="1"/>
    <col min="40" max="40" width="5.1640625" style="21" customWidth="1"/>
    <col min="41" max="41" width="45.5" style="21" customWidth="1"/>
    <col min="42" max="42" width="12.1640625" style="21" customWidth="1"/>
    <col min="43" max="44" width="8.83203125" style="21" customWidth="1"/>
    <col min="45" max="16384" width="8.83203125" style="21"/>
  </cols>
  <sheetData>
    <row r="1" spans="2:42" ht="69" customHeight="1">
      <c r="B1" s="20"/>
      <c r="C1" s="266" t="s">
        <v>40</v>
      </c>
      <c r="D1" s="267"/>
      <c r="E1" s="267"/>
      <c r="F1" s="267"/>
      <c r="G1" s="267"/>
      <c r="H1" s="267"/>
      <c r="I1" s="267"/>
      <c r="J1" s="267"/>
      <c r="K1" s="267"/>
      <c r="L1" s="267"/>
      <c r="M1" s="267"/>
      <c r="N1" s="267"/>
      <c r="O1" s="267"/>
      <c r="P1" s="267"/>
      <c r="Q1" s="267"/>
      <c r="R1" s="267"/>
      <c r="S1" s="267"/>
      <c r="T1" s="267"/>
      <c r="U1" s="267"/>
    </row>
    <row r="2" spans="2:42" ht="9" customHeight="1">
      <c r="B2" s="22"/>
      <c r="C2" s="23"/>
      <c r="D2" s="23"/>
      <c r="E2" s="224"/>
      <c r="F2" s="23"/>
      <c r="G2" s="23"/>
      <c r="H2" s="23"/>
      <c r="I2" s="23"/>
      <c r="J2" s="166"/>
      <c r="K2" s="23"/>
      <c r="L2" s="166"/>
      <c r="M2" s="23"/>
      <c r="N2" s="23"/>
      <c r="O2" s="23"/>
      <c r="P2" s="23"/>
      <c r="Q2" s="23"/>
      <c r="R2" s="23"/>
      <c r="S2" s="23"/>
      <c r="T2" s="23"/>
      <c r="U2" s="206"/>
      <c r="Y2" s="23"/>
    </row>
    <row r="3" spans="2:42" ht="18.5" customHeight="1">
      <c r="B3" s="24"/>
      <c r="C3" s="23"/>
      <c r="D3" s="23"/>
      <c r="E3" s="23"/>
      <c r="F3" s="23"/>
      <c r="G3" s="28"/>
      <c r="H3" s="28"/>
      <c r="I3" s="28"/>
      <c r="J3" s="270" t="s">
        <v>12</v>
      </c>
      <c r="K3" s="262"/>
      <c r="L3" s="262"/>
      <c r="M3" s="262"/>
      <c r="N3" s="262"/>
      <c r="O3" s="263"/>
      <c r="P3" s="25"/>
      <c r="Q3" s="25"/>
      <c r="R3" s="271" t="s">
        <v>353</v>
      </c>
      <c r="S3" s="262"/>
      <c r="T3" s="262"/>
      <c r="U3" s="263"/>
      <c r="W3" s="277" t="s">
        <v>41</v>
      </c>
      <c r="X3" s="278"/>
      <c r="Y3" s="279"/>
      <c r="Z3" s="268" t="s">
        <v>12</v>
      </c>
      <c r="AA3" s="262"/>
      <c r="AB3" s="262"/>
      <c r="AC3" s="262"/>
      <c r="AD3" s="263"/>
      <c r="AE3" s="25"/>
      <c r="AF3" s="25"/>
      <c r="AG3" s="271"/>
      <c r="AH3" s="262"/>
      <c r="AI3" s="262"/>
      <c r="AJ3" s="262"/>
      <c r="AK3" s="263"/>
    </row>
    <row r="4" spans="2:42" ht="18.5" customHeight="1">
      <c r="B4" s="269" t="s">
        <v>42</v>
      </c>
      <c r="C4" s="263"/>
      <c r="D4" s="200">
        <f>R193</f>
        <v>647</v>
      </c>
      <c r="E4" s="55" t="s">
        <v>43</v>
      </c>
      <c r="F4" s="55" t="s">
        <v>44</v>
      </c>
      <c r="G4" s="28"/>
      <c r="H4" s="28"/>
      <c r="I4" s="28"/>
      <c r="J4" s="270" t="s">
        <v>14</v>
      </c>
      <c r="K4" s="262"/>
      <c r="L4" s="262"/>
      <c r="M4" s="262"/>
      <c r="N4" s="262"/>
      <c r="O4" s="263"/>
      <c r="P4" s="25"/>
      <c r="Q4" s="25"/>
      <c r="R4" s="261">
        <v>44717</v>
      </c>
      <c r="S4" s="262"/>
      <c r="T4" s="262"/>
      <c r="U4" s="263"/>
      <c r="W4" s="273"/>
      <c r="X4" s="280"/>
      <c r="Y4" s="281"/>
      <c r="Z4" s="268" t="s">
        <v>14</v>
      </c>
      <c r="AA4" s="262"/>
      <c r="AB4" s="262"/>
      <c r="AC4" s="262"/>
      <c r="AD4" s="263"/>
      <c r="AE4" s="25"/>
      <c r="AF4" s="25"/>
      <c r="AG4" s="261"/>
      <c r="AH4" s="262"/>
      <c r="AI4" s="262"/>
      <c r="AJ4" s="262"/>
      <c r="AK4" s="263"/>
    </row>
    <row r="5" spans="2:42" ht="18.5" customHeight="1">
      <c r="B5" s="269" t="s">
        <v>45</v>
      </c>
      <c r="C5" s="263"/>
      <c r="D5" s="200">
        <f>$S$193</f>
        <v>502.5</v>
      </c>
      <c r="E5" s="272" t="str">
        <f>IF(D6=0,"",IF(D5&lt;&gt;D6,"Em Divergência","Concluído"))</f>
        <v/>
      </c>
      <c r="F5" s="274">
        <f>IF(ISERROR(1-(D6)/(D5)),"0",1-(D6)/(D5))</f>
        <v>1</v>
      </c>
      <c r="G5" s="28"/>
      <c r="H5" s="28"/>
      <c r="I5" s="28"/>
      <c r="J5" s="270" t="s">
        <v>15</v>
      </c>
      <c r="K5" s="262"/>
      <c r="L5" s="262"/>
      <c r="M5" s="262"/>
      <c r="N5" s="262"/>
      <c r="O5" s="263"/>
      <c r="P5" s="25"/>
      <c r="Q5" s="25"/>
      <c r="R5" s="271"/>
      <c r="S5" s="262"/>
      <c r="T5" s="262"/>
      <c r="U5" s="263"/>
      <c r="W5" s="273"/>
      <c r="X5" s="280"/>
      <c r="Y5" s="281"/>
      <c r="Z5" s="268" t="s">
        <v>15</v>
      </c>
      <c r="AA5" s="262"/>
      <c r="AB5" s="262"/>
      <c r="AC5" s="262"/>
      <c r="AD5" s="263"/>
      <c r="AE5" s="25"/>
      <c r="AF5" s="25"/>
      <c r="AG5" s="271"/>
      <c r="AH5" s="262"/>
      <c r="AI5" s="262"/>
      <c r="AJ5" s="262"/>
      <c r="AK5" s="263"/>
    </row>
    <row r="6" spans="2:42" ht="18.5" customHeight="1">
      <c r="B6" s="269" t="s">
        <v>46</v>
      </c>
      <c r="C6" s="263"/>
      <c r="D6" s="200">
        <f>$AJ$193</f>
        <v>0</v>
      </c>
      <c r="E6" s="273"/>
      <c r="F6" s="275"/>
      <c r="G6" s="28"/>
      <c r="H6" s="28"/>
      <c r="I6" s="28"/>
      <c r="J6" s="270" t="s">
        <v>16</v>
      </c>
      <c r="K6" s="262"/>
      <c r="L6" s="262"/>
      <c r="M6" s="262"/>
      <c r="N6" s="262"/>
      <c r="O6" s="263"/>
      <c r="P6" s="25"/>
      <c r="Q6" s="25"/>
      <c r="R6" s="261"/>
      <c r="S6" s="262"/>
      <c r="T6" s="262"/>
      <c r="U6" s="263"/>
      <c r="W6" s="282"/>
      <c r="X6" s="267"/>
      <c r="Y6" s="283"/>
      <c r="Z6" s="268" t="s">
        <v>16</v>
      </c>
      <c r="AA6" s="262"/>
      <c r="AB6" s="262"/>
      <c r="AC6" s="262"/>
      <c r="AD6" s="263"/>
      <c r="AE6" s="25"/>
      <c r="AF6" s="25"/>
      <c r="AG6" s="261"/>
      <c r="AH6" s="262"/>
      <c r="AI6" s="262"/>
      <c r="AJ6" s="262"/>
      <c r="AK6" s="263"/>
    </row>
    <row r="7" spans="2:42" ht="9" customHeight="1">
      <c r="B7" s="164"/>
      <c r="C7" s="164"/>
      <c r="D7" s="164"/>
      <c r="E7" s="186"/>
      <c r="F7" s="164"/>
      <c r="G7" s="164"/>
      <c r="H7" s="164"/>
      <c r="I7" s="164"/>
      <c r="J7" s="167"/>
      <c r="K7" s="28"/>
      <c r="L7" s="172"/>
      <c r="M7" s="164"/>
      <c r="N7" s="164"/>
      <c r="O7" s="164"/>
      <c r="P7" s="164"/>
      <c r="Q7" s="164"/>
      <c r="R7" s="186"/>
      <c r="S7" s="164"/>
      <c r="T7" s="164"/>
      <c r="U7" s="28"/>
      <c r="Y7" s="164"/>
    </row>
    <row r="8" spans="2:42" s="42" customFormat="1" ht="18.5" customHeight="1">
      <c r="B8" s="258" t="s">
        <v>47</v>
      </c>
      <c r="C8" s="258" t="s">
        <v>48</v>
      </c>
      <c r="D8" s="258" t="s">
        <v>49</v>
      </c>
      <c r="E8" s="258" t="s">
        <v>50</v>
      </c>
      <c r="F8" s="258" t="s">
        <v>51</v>
      </c>
      <c r="G8" s="259" t="s">
        <v>52</v>
      </c>
      <c r="H8" s="265" t="s">
        <v>53</v>
      </c>
      <c r="I8" s="259" t="s">
        <v>54</v>
      </c>
      <c r="J8" s="263"/>
      <c r="K8" s="264" t="s">
        <v>55</v>
      </c>
      <c r="L8" s="263"/>
      <c r="M8" s="163"/>
      <c r="N8" s="163"/>
      <c r="O8" s="287" t="s">
        <v>56</v>
      </c>
      <c r="P8" s="163"/>
      <c r="Q8" s="163"/>
      <c r="R8" s="259" t="s">
        <v>57</v>
      </c>
      <c r="S8" s="259" t="s">
        <v>58</v>
      </c>
      <c r="T8" s="259" t="s">
        <v>59</v>
      </c>
      <c r="U8" s="259" t="s">
        <v>60</v>
      </c>
      <c r="W8" s="258" t="s">
        <v>61</v>
      </c>
      <c r="X8" s="258" t="s">
        <v>47</v>
      </c>
      <c r="Y8" s="258" t="s">
        <v>48</v>
      </c>
      <c r="Z8" s="259" t="s">
        <v>52</v>
      </c>
      <c r="AA8" s="259" t="s">
        <v>54</v>
      </c>
      <c r="AB8" s="263"/>
      <c r="AC8" s="264" t="s">
        <v>55</v>
      </c>
      <c r="AD8" s="263"/>
      <c r="AE8" s="163"/>
      <c r="AF8" s="163"/>
      <c r="AG8" s="287" t="s">
        <v>56</v>
      </c>
      <c r="AH8" s="163"/>
      <c r="AI8" s="163"/>
      <c r="AJ8" s="259" t="s">
        <v>62</v>
      </c>
      <c r="AK8" s="259" t="s">
        <v>63</v>
      </c>
      <c r="AM8" s="259" t="s">
        <v>64</v>
      </c>
      <c r="AO8" s="260" t="s">
        <v>65</v>
      </c>
      <c r="AP8" s="256" t="s">
        <v>66</v>
      </c>
    </row>
    <row r="9" spans="2:42" s="43" customFormat="1" ht="15.75" customHeight="1">
      <c r="B9" s="257"/>
      <c r="C9" s="257"/>
      <c r="D9" s="257"/>
      <c r="E9" s="257"/>
      <c r="F9" s="257"/>
      <c r="G9" s="257"/>
      <c r="H9" s="257"/>
      <c r="I9" s="168" t="s">
        <v>67</v>
      </c>
      <c r="J9" s="169" t="s">
        <v>68</v>
      </c>
      <c r="K9" s="173" t="s">
        <v>67</v>
      </c>
      <c r="L9" s="168" t="s">
        <v>68</v>
      </c>
      <c r="M9" s="162" t="s">
        <v>69</v>
      </c>
      <c r="N9" s="161" t="s">
        <v>70</v>
      </c>
      <c r="O9" s="282"/>
      <c r="P9" s="35" t="s">
        <v>71</v>
      </c>
      <c r="Q9" s="161" t="s">
        <v>72</v>
      </c>
      <c r="R9" s="257"/>
      <c r="S9" s="257"/>
      <c r="T9" s="257"/>
      <c r="U9" s="257"/>
      <c r="W9" s="257"/>
      <c r="X9" s="257"/>
      <c r="Y9" s="257"/>
      <c r="Z9" s="257"/>
      <c r="AA9" s="168" t="s">
        <v>67</v>
      </c>
      <c r="AB9" s="169" t="s">
        <v>68</v>
      </c>
      <c r="AC9" s="173" t="s">
        <v>67</v>
      </c>
      <c r="AD9" s="168" t="s">
        <v>68</v>
      </c>
      <c r="AE9" s="162" t="s">
        <v>69</v>
      </c>
      <c r="AF9" s="161" t="s">
        <v>70</v>
      </c>
      <c r="AG9" s="282"/>
      <c r="AH9" s="35" t="s">
        <v>71</v>
      </c>
      <c r="AI9" s="161" t="s">
        <v>72</v>
      </c>
      <c r="AJ9" s="257"/>
      <c r="AK9" s="257"/>
      <c r="AM9" s="257"/>
      <c r="AO9" s="257"/>
      <c r="AP9" s="257"/>
    </row>
    <row r="10" spans="2:42" s="46" customFormat="1" ht="18.75" customHeight="1">
      <c r="B10" s="226" t="s">
        <v>73</v>
      </c>
      <c r="C10" s="227">
        <f>IF(B10&lt;&gt;"",VLOOKUP(B10,'Tipo Projeto'!$A$3:$B$44,2,0),0)</f>
        <v>1</v>
      </c>
      <c r="D10" s="228" t="s">
        <v>237</v>
      </c>
      <c r="E10" s="236"/>
      <c r="F10" s="233" t="s">
        <v>235</v>
      </c>
      <c r="G10" s="228" t="s">
        <v>79</v>
      </c>
      <c r="H10" s="229"/>
      <c r="I10" s="230">
        <v>10</v>
      </c>
      <c r="J10" s="225" t="s">
        <v>236</v>
      </c>
      <c r="K10" s="231">
        <v>1</v>
      </c>
      <c r="L10" s="237" t="s">
        <v>237</v>
      </c>
      <c r="M10" s="232" t="str">
        <f t="shared" ref="M10:M14" si="0">IF(G10="EE",IF(OR(AND(OR(K10=1,K10=0),I10&gt;0,I10&lt;5),AND(OR(K10=1,K10=0),I10&gt;4,I10&lt;16),AND(K10=2,I10&gt;0,I10&lt;5)),"Simples",IF(OR(AND(OR(K10=1,K10=0),I10&gt;15),AND(K10=2,I10&gt;4,I10&lt;16),AND(K10&gt;2,I10&gt;0,I10&lt;5)),"Médio",IF(OR(AND(K10=2,I10&gt;15),AND(K10&gt;2,I10&gt;4,I10&lt;16),AND(K10&gt;2,I10&gt;15)),"Complexo",""))),
IF(OR(G10="CE",G10="SE"),IF(OR(AND(OR(K10=1,K10=0),I10&gt;0,I10&lt;6),AND(OR(K10=1,K10=0),I10&gt;5,I10&lt;20),AND(K10&gt;1,K10&lt;4,I10&gt;0,I10&lt;6)),"Simples",IF(OR(AND(OR(K10=1,K10=0),I10&gt;19),AND(K10&gt;1,K10&lt;4,I10&gt;5,I10&lt;20),AND(K10&gt;3,I10&gt;0,I10&lt;6)),"Médio",IF(OR(AND(K10&gt;1,K10&lt;4,I10&gt;19),AND(K10&gt;3,I10&gt;5,I10&lt;20),AND(K10&gt;3,I10&gt;19)),"Complexo",""))),""))</f>
        <v>Simples</v>
      </c>
      <c r="N10" s="233" t="str">
        <f t="shared" ref="N10:N14" si="1">IF(G10="ALI",IF(OR(AND(OR(K10=1,K10=0),I10&gt;0,I10&lt;20),AND(OR(K10=1,K10=0),I10&gt;19,I10&lt;51),AND(K10&gt;1,K10&lt;6,I10&gt;0,I10&lt;20)),"Simples",IF(OR(AND(OR(K10=1,K10=0),I10&gt;50),AND(K10&gt;1,K10&lt;6,I10&gt;19,I10&lt;51),AND(K10&gt;5,I10&gt;0,I10&lt;20)),"Médio",IF(OR(AND(K10&gt;1,K10&lt;6,I10&gt;50),AND(K10&gt;5,I10&gt;19,I10&lt;51),AND(K10&gt;5,I10&gt;50)),"Complexo",""))),
IF(G10="AIE",IF(OR(AND(OR(K10=1, K10=0),I10&gt;0,I10&lt;20),AND(OR(K10=1, K10=0),I10&gt;19,I10&lt;51),AND(K10&gt;1,K10&lt;6,I10&gt;0,I10&lt;20)),"Simples",IF(OR(AND(OR(K10=1, K10=0),I10&gt;50),AND(K10&gt;1,K10&lt;6,I10&gt;19,I10&lt;51),AND(K10&gt;5,I10&gt;0,I10&lt;20)),"Médio",IF(OR(AND(K10&gt;1,K10&lt;6,I10&gt;50),AND(K10&gt;5,I10&gt;19,I10&lt;51),AND(K10&gt;5,I10&gt;50)),"Complexo",""))),""))</f>
        <v/>
      </c>
      <c r="O10" s="234" t="str">
        <f t="shared" ref="O10:O35" si="2">IF(M10="",N10,IF(N10="",M10,""))</f>
        <v>Simples</v>
      </c>
      <c r="P10" s="235">
        <f t="shared" ref="P10:P14" si="3">IF(AND(OR(G10="EE",G10="CE"),O10="Simples"),3,
IF(AND(OR(G10="EE",G10="CE"),O10="Médio"),4,
IF(AND(OR(G10="EE",G10="CE"),O10="Complexo"),6,
IF(AND(G10="SE",O10="Simples"),4,
IF(AND(G10="SE",O10="Médio"),5,
IF(AND(G10="SE",O10="Complexo"),7,0))))))</f>
        <v>3</v>
      </c>
      <c r="Q10" s="235">
        <f t="shared" ref="Q10:Q14" si="4">IF(AND(G10="ALI",N10="Simples"),7,
IF(AND(G10="ALI",N10="Médio"),10,
IF(AND(G10="ALI",N10="Complexo"),15,
IF(AND(G10="AIE",N10="Simples"),5,
IF(AND(G10="AIE",N10="Médio"),7,
IF(AND(G10="AIE",N10="Complexo"),10,0))))))</f>
        <v>0</v>
      </c>
      <c r="R10" s="234">
        <f t="shared" ref="R10:R14" si="5">IF(G10="INM",C10*H10,IF(AND(OR(G10="EE",G10="CE"),O10="Simples"),3,
IF(AND(OR(G10="EE",G10="CE"),O10="Médio"),4,
IF(AND(OR(G10="EE",G10="CE"),O10="Complexo"),6,
IF(AND(G10="SE",O10="Simples"),4,
IF(AND(G10="SE",O10="Médio"),5,
IF(AND(G10="SE",O10="Complexo"),7,
IF(AND(G10="ALI",O10="Médio"),10,
IF(AND(G10="ALI",O10="Simples"),7,
IF(AND(G10="ALI",O10="Complexo"),15,
IF(AND(G10="AIE",O10="Simples"),5,
IF(AND(G10="AIE",O10="Médio"),7,
IF(AND(G10="AIE",O10="Complexo"),10,0))
)))))))))))</f>
        <v>3</v>
      </c>
      <c r="S10" s="234">
        <f t="shared" ref="S10:S14" si="6">IF(G10="INM",C10*H10,IF(B10&lt;&gt;"Manutenção em interface",IF(B10&lt;&gt;"Desenv., Manutenção e Publicação de Páginas Estáticas",(P10+Q10)*C10,C10),C10))</f>
        <v>3</v>
      </c>
      <c r="T10" s="236" t="s">
        <v>356</v>
      </c>
      <c r="U10" s="236"/>
      <c r="W10" s="184"/>
      <c r="X10" s="56"/>
      <c r="Y10" s="155">
        <f>IF(X10&lt;&gt;"",VLOOKUP(X10,'Tipo Projeto'!$A$3:$B$44,2,0),0)</f>
        <v>0</v>
      </c>
      <c r="Z10" s="44"/>
      <c r="AA10" s="57"/>
      <c r="AB10" s="170"/>
      <c r="AC10" s="174"/>
      <c r="AD10" s="165"/>
      <c r="AE10" s="171" t="str">
        <f t="shared" ref="AE10:AE22" si="7">IF(Z10="EE",IF(OR(AND(OR(AC10=1,AC10=0),AA10&gt;0,AA10&lt;5),AND(OR(AC10=1,AC10=0),AA10&gt;4,AA10&lt;16),AND(AC10=2,AA10&gt;0,AA10&lt;5)),"Simples",IF(OR(AND(OR(AC10=1,AC10=0),AA10&gt;15),AND(AC10=2,AA10&gt;4,AA10&lt;16),AND(AC10&gt;2,AA10&gt;0,AA10&lt;5)),"Médio",IF(OR(AND(AC10=2,AA10&gt;15),AND(AC10&gt;2,AA10&gt;4,AA10&lt;16),AND(AC10&gt;2,AA10&gt;15)),"Complexo",""))),
IF(OR(Z10="CE",Z10="SE"),IF(OR(AND(OR(AC10=1,AC10=0),AA10&gt;0,AA10&lt;6),AND(OR(AC10=1,AC10=0),AA10&gt;5,AA10&lt;20),AND(AC10&gt;1,AC10&lt;4,AA10&gt;0,AA10&lt;6)),"Simples",IF(OR(AND(OR(AC10=1,AC10=0),AA10&gt;19),AND(AC10&gt;1,AC10&lt;4,AA10&gt;5,AA10&lt;20),AND(AC10&gt;3,AA10&gt;0,AA10&lt;6)),"Médio",IF(OR(AND(AC10&gt;1,AC10&lt;4,AA10&gt;19),AND(AC10&gt;3,AA10&gt;5,AA10&lt;20),AND(AC10&gt;3,AA10&gt;19)),"Complexo",""))),""))</f>
        <v/>
      </c>
      <c r="AF10" s="45" t="str">
        <f t="shared" ref="AF10:AF22" si="8">IF(Z10="ALI",IF(OR(AND(OR(AC10=1,AC10=0),AA10&gt;0,AA10&lt;20),AND(OR(AC10=1,AC10=0),AA10&gt;19,AA10&lt;51),AND(AC10&gt;1,AC10&lt;6,AA10&gt;0,AA10&lt;20)),"Simples",IF(OR(AND(OR(AC10=1,AC10=0),AA10&gt;50),AND(AC10&gt;1,AC10&lt;6,AA10&gt;19,AA10&lt;51),AND(AC10&gt;5,AA10&gt;0,AA10&lt;20)),"Médio",IF(OR(AND(AC10&gt;1,AC10&lt;6,AA10&gt;50),AND(AC10&gt;5,AA10&gt;19,AA10&lt;51),AND(AC10&gt;5,AA10&gt;50)),"Complexo",""))),
IF(Z10="AIE",IF(OR(AND(OR(AC10=1, AC10=0),AA10&gt;0,AA10&lt;20),AND(OR(AC10=1, AC10=0),AA10&gt;19,AA10&lt;51),AND(AC10&gt;1,AC10&lt;6,AA10&gt;0,AA10&lt;20)),"Simples",IF(OR(AND(OR(AC10=1, AC10=0),AA10&gt;50),AND(AC10&gt;1,AC10&lt;6,AA10&gt;19,AA10&lt;51),AND(AC10&gt;5,AA10&gt;0,AA10&lt;20)),"Médio",IF(OR(AND(AC10&gt;1,AC10&lt;6,AA10&gt;50),AND(AC10&gt;5,AA10&gt;19,AA10&lt;51),AND(AC10&gt;5,AA10&gt;50)),"Complexo",""))),""))</f>
        <v/>
      </c>
      <c r="AG10" s="175" t="str">
        <f t="shared" ref="AG10:AG22" si="9">IF(AE10="",AF10,IF(AF10="",AE10,""))</f>
        <v/>
      </c>
      <c r="AH10" s="176">
        <f t="shared" ref="AH10:AH22" si="10">IF(AND(OR(Z10="EE",Z10="CE"),AG10="Simples"),3,
IF(AND(OR(Z10="EE",Z10="CE"),AG10="Médio"),4,
IF(AND(OR(Z10="EE",Z10="CE"),AG10="Complexo"),6,
IF(AND(Z10="SE",AG10="Simples"),4,
IF(AND(Z10="SE",AG10="Médio"),5,
IF(AND(Z10="SE",AG10="Complexo"),7,0))))))</f>
        <v>0</v>
      </c>
      <c r="AI10" s="176">
        <f t="shared" ref="AI10:AI22" si="11">IF(AND(Z10="ALI",AF10="Simples"),7,
IF(AND(Z10="ALI",AF10="Médio"),10,
IF(AND(Z10="ALI",AF10="Complexo"),15,
IF(AND(Z10="AIE",AF10="Simples"),5,
IF(AND(Z10="AIE",AF10="Médio"),7,
IF(AND(Z10="AIE",AF10="Complexo"),10,0))))))</f>
        <v>0</v>
      </c>
      <c r="AJ10" s="185">
        <f t="shared" ref="AJ10:AJ22" si="12">IF(W10="OK",S10,(
IF(X10&lt;&gt;"Manutenção em interface",IF(X10&lt;&gt;"Desenv., Manutenção e Publicação de Páginas Estáticas",(AH10+AI10)*Y10,Y10),Y10)))</f>
        <v>0</v>
      </c>
      <c r="AK10" s="44"/>
      <c r="AM10" s="44"/>
      <c r="AO10" s="44"/>
      <c r="AP10" s="44" t="str">
        <f t="shared" ref="AP10:AP22" si="13">IF(AJ10=0,"",IF(AJ10=S10,"OK","Divergente"))</f>
        <v/>
      </c>
    </row>
    <row r="11" spans="2:42" s="46" customFormat="1" ht="18.75" customHeight="1">
      <c r="B11" s="226" t="s">
        <v>73</v>
      </c>
      <c r="C11" s="227">
        <f>IF(B11&lt;&gt;"",VLOOKUP(B11,'Tipo Projeto'!$A$3:$B$44,2,0),0)</f>
        <v>1</v>
      </c>
      <c r="D11" s="228" t="s">
        <v>237</v>
      </c>
      <c r="E11" s="236" t="s">
        <v>424</v>
      </c>
      <c r="F11" s="233" t="s">
        <v>238</v>
      </c>
      <c r="G11" s="228" t="s">
        <v>78</v>
      </c>
      <c r="H11" s="229"/>
      <c r="I11" s="230">
        <v>12</v>
      </c>
      <c r="J11" s="225" t="s">
        <v>411</v>
      </c>
      <c r="K11" s="231">
        <v>1</v>
      </c>
      <c r="L11" s="237" t="s">
        <v>237</v>
      </c>
      <c r="M11" s="232" t="str">
        <f t="shared" si="0"/>
        <v>Simples</v>
      </c>
      <c r="N11" s="233" t="str">
        <f t="shared" si="1"/>
        <v/>
      </c>
      <c r="O11" s="234" t="str">
        <f t="shared" si="2"/>
        <v>Simples</v>
      </c>
      <c r="P11" s="235">
        <f t="shared" si="3"/>
        <v>3</v>
      </c>
      <c r="Q11" s="235">
        <f t="shared" si="4"/>
        <v>0</v>
      </c>
      <c r="R11" s="234">
        <f t="shared" si="5"/>
        <v>3</v>
      </c>
      <c r="S11" s="234">
        <f t="shared" si="6"/>
        <v>3</v>
      </c>
      <c r="T11" s="236">
        <v>20</v>
      </c>
      <c r="U11" s="236"/>
      <c r="W11" s="184"/>
      <c r="X11" s="56"/>
      <c r="Y11" s="155">
        <f>IF(X11&lt;&gt;"",VLOOKUP(X11,'Tipo Projeto'!$A$3:$B$44,2,0),0)</f>
        <v>0</v>
      </c>
      <c r="Z11" s="44"/>
      <c r="AA11" s="57"/>
      <c r="AB11" s="170"/>
      <c r="AC11" s="174"/>
      <c r="AD11" s="165"/>
      <c r="AE11" s="171" t="str">
        <f t="shared" si="7"/>
        <v/>
      </c>
      <c r="AF11" s="45" t="str">
        <f t="shared" si="8"/>
        <v/>
      </c>
      <c r="AG11" s="175" t="str">
        <f t="shared" si="9"/>
        <v/>
      </c>
      <c r="AH11" s="176">
        <f t="shared" si="10"/>
        <v>0</v>
      </c>
      <c r="AI11" s="176">
        <f t="shared" si="11"/>
        <v>0</v>
      </c>
      <c r="AJ11" s="185">
        <f t="shared" si="12"/>
        <v>0</v>
      </c>
      <c r="AK11" s="44"/>
      <c r="AM11" s="44"/>
      <c r="AO11" s="44"/>
      <c r="AP11" s="44" t="str">
        <f t="shared" si="13"/>
        <v/>
      </c>
    </row>
    <row r="12" spans="2:42" s="46" customFormat="1" ht="18.75" customHeight="1">
      <c r="B12" s="226" t="s">
        <v>73</v>
      </c>
      <c r="C12" s="227">
        <f>IF(B12&lt;&gt;"",VLOOKUP(B12,'Tipo Projeto'!$A$3:$B$44,2,0),0)</f>
        <v>1</v>
      </c>
      <c r="D12" s="228" t="s">
        <v>237</v>
      </c>
      <c r="E12" s="236" t="s">
        <v>424</v>
      </c>
      <c r="F12" s="233" t="s">
        <v>240</v>
      </c>
      <c r="G12" s="228" t="s">
        <v>78</v>
      </c>
      <c r="H12" s="229"/>
      <c r="I12" s="230">
        <v>11</v>
      </c>
      <c r="J12" s="225" t="s">
        <v>412</v>
      </c>
      <c r="K12" s="231">
        <v>1</v>
      </c>
      <c r="L12" s="237" t="s">
        <v>237</v>
      </c>
      <c r="M12" s="232" t="str">
        <f t="shared" si="0"/>
        <v>Simples</v>
      </c>
      <c r="N12" s="233" t="str">
        <f t="shared" si="1"/>
        <v/>
      </c>
      <c r="O12" s="234" t="str">
        <f t="shared" si="2"/>
        <v>Simples</v>
      </c>
      <c r="P12" s="235">
        <f t="shared" si="3"/>
        <v>3</v>
      </c>
      <c r="Q12" s="235">
        <f t="shared" si="4"/>
        <v>0</v>
      </c>
      <c r="R12" s="234">
        <f t="shared" si="5"/>
        <v>3</v>
      </c>
      <c r="S12" s="234">
        <f t="shared" si="6"/>
        <v>3</v>
      </c>
      <c r="T12" s="236">
        <v>20</v>
      </c>
      <c r="U12" s="236"/>
      <c r="W12" s="184"/>
      <c r="X12" s="56"/>
      <c r="Y12" s="155">
        <f>IF(X12&lt;&gt;"",VLOOKUP(X12,'Tipo Projeto'!$A$3:$B$44,2,0),0)</f>
        <v>0</v>
      </c>
      <c r="Z12" s="44"/>
      <c r="AA12" s="57"/>
      <c r="AB12" s="170"/>
      <c r="AC12" s="174"/>
      <c r="AD12" s="165"/>
      <c r="AE12" s="171" t="str">
        <f t="shared" si="7"/>
        <v/>
      </c>
      <c r="AF12" s="45" t="str">
        <f t="shared" si="8"/>
        <v/>
      </c>
      <c r="AG12" s="175" t="str">
        <f t="shared" si="9"/>
        <v/>
      </c>
      <c r="AH12" s="176">
        <f t="shared" si="10"/>
        <v>0</v>
      </c>
      <c r="AI12" s="176">
        <f t="shared" si="11"/>
        <v>0</v>
      </c>
      <c r="AJ12" s="185">
        <f t="shared" si="12"/>
        <v>0</v>
      </c>
      <c r="AK12" s="44"/>
      <c r="AM12" s="44"/>
      <c r="AO12" s="44"/>
      <c r="AP12" s="44" t="str">
        <f t="shared" si="13"/>
        <v/>
      </c>
    </row>
    <row r="13" spans="2:42" s="46" customFormat="1" ht="18.75" customHeight="1">
      <c r="B13" s="226" t="s">
        <v>73</v>
      </c>
      <c r="C13" s="227">
        <f>IF(B13&lt;&gt;"",VLOOKUP(B13,'Tipo Projeto'!$A$3:$B$44,2,0),0)</f>
        <v>1</v>
      </c>
      <c r="D13" s="228" t="s">
        <v>237</v>
      </c>
      <c r="E13" s="236" t="s">
        <v>424</v>
      </c>
      <c r="F13" s="233" t="s">
        <v>239</v>
      </c>
      <c r="G13" s="228" t="s">
        <v>78</v>
      </c>
      <c r="H13" s="229"/>
      <c r="I13" s="230">
        <v>11</v>
      </c>
      <c r="J13" s="225" t="s">
        <v>413</v>
      </c>
      <c r="K13" s="231">
        <v>1</v>
      </c>
      <c r="L13" s="237" t="s">
        <v>237</v>
      </c>
      <c r="M13" s="232" t="str">
        <f t="shared" si="0"/>
        <v>Simples</v>
      </c>
      <c r="N13" s="233" t="str">
        <f t="shared" si="1"/>
        <v/>
      </c>
      <c r="O13" s="234" t="str">
        <f t="shared" si="2"/>
        <v>Simples</v>
      </c>
      <c r="P13" s="235">
        <f t="shared" si="3"/>
        <v>3</v>
      </c>
      <c r="Q13" s="235">
        <f t="shared" si="4"/>
        <v>0</v>
      </c>
      <c r="R13" s="234">
        <f t="shared" si="5"/>
        <v>3</v>
      </c>
      <c r="S13" s="234">
        <f t="shared" si="6"/>
        <v>3</v>
      </c>
      <c r="T13" s="236">
        <v>20</v>
      </c>
      <c r="U13" s="236"/>
      <c r="W13" s="184"/>
      <c r="X13" s="56"/>
      <c r="Y13" s="155">
        <f>IF(X13&lt;&gt;"",VLOOKUP(X13,'Tipo Projeto'!$A$3:$B$44,2,0),0)</f>
        <v>0</v>
      </c>
      <c r="Z13" s="44"/>
      <c r="AA13" s="57"/>
      <c r="AB13" s="170"/>
      <c r="AC13" s="174"/>
      <c r="AD13" s="165"/>
      <c r="AE13" s="171" t="str">
        <f t="shared" si="7"/>
        <v/>
      </c>
      <c r="AF13" s="45" t="str">
        <f t="shared" si="8"/>
        <v/>
      </c>
      <c r="AG13" s="175" t="str">
        <f t="shared" si="9"/>
        <v/>
      </c>
      <c r="AH13" s="176">
        <f t="shared" si="10"/>
        <v>0</v>
      </c>
      <c r="AI13" s="176">
        <f t="shared" si="11"/>
        <v>0</v>
      </c>
      <c r="AJ13" s="185">
        <f t="shared" si="12"/>
        <v>0</v>
      </c>
      <c r="AK13" s="44"/>
      <c r="AM13" s="44"/>
      <c r="AO13" s="44"/>
      <c r="AP13" s="44" t="str">
        <f t="shared" si="13"/>
        <v/>
      </c>
    </row>
    <row r="14" spans="2:42" s="46" customFormat="1" ht="18.75" customHeight="1">
      <c r="B14" s="226"/>
      <c r="C14" s="227">
        <f>IF(B14&lt;&gt;"",VLOOKUP(B14,'Tipo Projeto'!$A$3:$B$44,2,0),0)</f>
        <v>0</v>
      </c>
      <c r="D14" s="228"/>
      <c r="E14" s="236"/>
      <c r="F14" s="233"/>
      <c r="G14" s="228"/>
      <c r="H14" s="229"/>
      <c r="I14" s="230"/>
      <c r="J14" s="225"/>
      <c r="K14" s="231"/>
      <c r="L14" s="237"/>
      <c r="M14" s="232" t="str">
        <f t="shared" si="0"/>
        <v/>
      </c>
      <c r="N14" s="233" t="str">
        <f t="shared" si="1"/>
        <v/>
      </c>
      <c r="O14" s="234" t="str">
        <f t="shared" si="2"/>
        <v/>
      </c>
      <c r="P14" s="235">
        <f t="shared" si="3"/>
        <v>0</v>
      </c>
      <c r="Q14" s="235">
        <f t="shared" si="4"/>
        <v>0</v>
      </c>
      <c r="R14" s="234">
        <f t="shared" si="5"/>
        <v>0</v>
      </c>
      <c r="S14" s="234">
        <f t="shared" si="6"/>
        <v>0</v>
      </c>
      <c r="T14" s="236"/>
      <c r="U14" s="236"/>
      <c r="W14" s="184"/>
      <c r="X14" s="56"/>
      <c r="Y14" s="155">
        <f>IF(X14&lt;&gt;"",VLOOKUP(X14,'Tipo Projeto'!$A$3:$B$44,2,0),0)</f>
        <v>0</v>
      </c>
      <c r="Z14" s="44"/>
      <c r="AA14" s="57"/>
      <c r="AB14" s="170"/>
      <c r="AC14" s="174"/>
      <c r="AD14" s="165"/>
      <c r="AE14" s="171" t="str">
        <f t="shared" si="7"/>
        <v/>
      </c>
      <c r="AF14" s="45" t="str">
        <f t="shared" si="8"/>
        <v/>
      </c>
      <c r="AG14" s="175" t="str">
        <f t="shared" si="9"/>
        <v/>
      </c>
      <c r="AH14" s="176">
        <f t="shared" si="10"/>
        <v>0</v>
      </c>
      <c r="AI14" s="176">
        <f t="shared" si="11"/>
        <v>0</v>
      </c>
      <c r="AJ14" s="185">
        <f t="shared" si="12"/>
        <v>0</v>
      </c>
      <c r="AK14" s="44"/>
      <c r="AM14" s="44"/>
      <c r="AO14" s="44"/>
      <c r="AP14" s="44" t="str">
        <f t="shared" si="13"/>
        <v/>
      </c>
    </row>
    <row r="15" spans="2:42" s="46" customFormat="1" ht="18.75" customHeight="1">
      <c r="B15" s="226" t="s">
        <v>73</v>
      </c>
      <c r="C15" s="227">
        <f>IF(B15&lt;&gt;"",VLOOKUP(B15,'Tipo Projeto'!$A$3:$B$44,2,0),0)</f>
        <v>1</v>
      </c>
      <c r="D15" s="228" t="s">
        <v>75</v>
      </c>
      <c r="E15" s="236"/>
      <c r="F15" s="233" t="s">
        <v>245</v>
      </c>
      <c r="G15" s="228" t="s">
        <v>80</v>
      </c>
      <c r="H15" s="229"/>
      <c r="I15" s="230">
        <v>6</v>
      </c>
      <c r="J15" s="225" t="s">
        <v>249</v>
      </c>
      <c r="K15" s="231">
        <v>2</v>
      </c>
      <c r="L15" s="237" t="s">
        <v>318</v>
      </c>
      <c r="M15" s="232" t="str">
        <f t="shared" ref="M15:M187" si="14">IF(G15="EE",IF(OR(AND(OR(K15=1,K15=0),I15&gt;0,I15&lt;5),AND(OR(K15=1,K15=0),I15&gt;4,I15&lt;16),AND(K15=2,I15&gt;0,I15&lt;5)),"Simples",IF(OR(AND(OR(K15=1,K15=0),I15&gt;15),AND(K15=2,I15&gt;4,I15&lt;16),AND(K15&gt;2,I15&gt;0,I15&lt;5)),"Médio",IF(OR(AND(K15=2,I15&gt;15),AND(K15&gt;2,I15&gt;4,I15&lt;16),AND(K15&gt;2,I15&gt;15)),"Complexo",""))),
IF(OR(G15="CE",G15="SE"),IF(OR(AND(OR(K15=1,K15=0),I15&gt;0,I15&lt;6),AND(OR(K15=1,K15=0),I15&gt;5,I15&lt;20),AND(K15&gt;1,K15&lt;4,I15&gt;0,I15&lt;6)),"Simples",IF(OR(AND(OR(K15=1,K15=0),I15&gt;19),AND(K15&gt;1,K15&lt;4,I15&gt;5,I15&lt;20),AND(K15&gt;3,I15&gt;0,I15&lt;6)),"Médio",IF(OR(AND(K15&gt;1,K15&lt;4,I15&gt;19),AND(K15&gt;3,I15&gt;5,I15&lt;20),AND(K15&gt;3,I15&gt;19)),"Complexo",""))),""))</f>
        <v>Médio</v>
      </c>
      <c r="N15" s="233" t="str">
        <f t="shared" ref="N15:N187" si="15">IF(G15="ALI",IF(OR(AND(OR(K15=1,K15=0),I15&gt;0,I15&lt;20),AND(OR(K15=1,K15=0),I15&gt;19,I15&lt;51),AND(K15&gt;1,K15&lt;6,I15&gt;0,I15&lt;20)),"Simples",IF(OR(AND(OR(K15=1,K15=0),I15&gt;50),AND(K15&gt;1,K15&lt;6,I15&gt;19,I15&lt;51),AND(K15&gt;5,I15&gt;0,I15&lt;20)),"Médio",IF(OR(AND(K15&gt;1,K15&lt;6,I15&gt;50),AND(K15&gt;5,I15&gt;19,I15&lt;51),AND(K15&gt;5,I15&gt;50)),"Complexo",""))),
IF(G15="AIE",IF(OR(AND(OR(K15=1, K15=0),I15&gt;0,I15&lt;20),AND(OR(K15=1, K15=0),I15&gt;19,I15&lt;51),AND(K15&gt;1,K15&lt;6,I15&gt;0,I15&lt;20)),"Simples",IF(OR(AND(OR(K15=1, K15=0),I15&gt;50),AND(K15&gt;1,K15&lt;6,I15&gt;19,I15&lt;51),AND(K15&gt;5,I15&gt;0,I15&lt;20)),"Médio",IF(OR(AND(K15&gt;1,K15&lt;6,I15&gt;50),AND(K15&gt;5,I15&gt;19,I15&lt;51),AND(K15&gt;5,I15&gt;50)),"Complexo",""))),""))</f>
        <v/>
      </c>
      <c r="O15" s="234" t="str">
        <f t="shared" si="2"/>
        <v>Médio</v>
      </c>
      <c r="P15" s="235">
        <f t="shared" ref="P15:P187" si="16">IF(AND(OR(G15="EE",G15="CE"),O15="Simples"),3,
IF(AND(OR(G15="EE",G15="CE"),O15="Médio"),4,
IF(AND(OR(G15="EE",G15="CE"),O15="Complexo"),6,
IF(AND(G15="SE",O15="Simples"),4,
IF(AND(G15="SE",O15="Médio"),5,
IF(AND(G15="SE",O15="Complexo"),7,0))))))</f>
        <v>5</v>
      </c>
      <c r="Q15" s="235">
        <f t="shared" ref="Q15:Q187" si="17">IF(AND(G15="ALI",N15="Simples"),7,
IF(AND(G15="ALI",N15="Médio"),10,
IF(AND(G15="ALI",N15="Complexo"),15,
IF(AND(G15="AIE",N15="Simples"),5,
IF(AND(G15="AIE",N15="Médio"),7,
IF(AND(G15="AIE",N15="Complexo"),10,0))))))</f>
        <v>0</v>
      </c>
      <c r="R15" s="234">
        <f t="shared" ref="R15:R187" si="18">IF(G15="INM",C15*H15,IF(AND(OR(G15="EE",G15="CE"),O15="Simples"),3,
IF(AND(OR(G15="EE",G15="CE"),O15="Médio"),4,
IF(AND(OR(G15="EE",G15="CE"),O15="Complexo"),6,
IF(AND(G15="SE",O15="Simples"),4,
IF(AND(G15="SE",O15="Médio"),5,
IF(AND(G15="SE",O15="Complexo"),7,
IF(AND(G15="ALI",O15="Médio"),10,
IF(AND(G15="ALI",O15="Simples"),7,
IF(AND(G15="ALI",O15="Complexo"),15,
IF(AND(G15="AIE",O15="Simples"),5,
IF(AND(G15="AIE",O15="Médio"),7,
IF(AND(G15="AIE",O15="Complexo"),10,0))
)))))))))))</f>
        <v>5</v>
      </c>
      <c r="S15" s="234">
        <f t="shared" ref="S15:S187" si="19">IF(G15="INM",C15*H15,IF(B15&lt;&gt;"Manutenção em interface",IF(B15&lt;&gt;"Desenv., Manutenção e Publicação de Páginas Estáticas",(P15+Q15)*C15,C15),C15))</f>
        <v>5</v>
      </c>
      <c r="T15" s="236" t="s">
        <v>357</v>
      </c>
      <c r="U15" s="236"/>
      <c r="W15" s="184"/>
      <c r="X15" s="56"/>
      <c r="Y15" s="155">
        <f>IF(X15&lt;&gt;"",VLOOKUP(X15,'Tipo Projeto'!$A$3:$B$44,2,0),0)</f>
        <v>0</v>
      </c>
      <c r="Z15" s="44"/>
      <c r="AA15" s="57"/>
      <c r="AB15" s="170"/>
      <c r="AC15" s="174"/>
      <c r="AD15" s="165"/>
      <c r="AE15" s="171" t="str">
        <f t="shared" si="7"/>
        <v/>
      </c>
      <c r="AF15" s="45" t="str">
        <f t="shared" si="8"/>
        <v/>
      </c>
      <c r="AG15" s="175" t="str">
        <f t="shared" si="9"/>
        <v/>
      </c>
      <c r="AH15" s="176">
        <f t="shared" si="10"/>
        <v>0</v>
      </c>
      <c r="AI15" s="176">
        <f t="shared" si="11"/>
        <v>0</v>
      </c>
      <c r="AJ15" s="185">
        <f t="shared" si="12"/>
        <v>0</v>
      </c>
      <c r="AK15" s="44"/>
      <c r="AM15" s="44"/>
      <c r="AO15" s="44"/>
      <c r="AP15" s="44" t="str">
        <f t="shared" si="13"/>
        <v/>
      </c>
    </row>
    <row r="16" spans="2:42" s="46" customFormat="1" ht="18.75" customHeight="1">
      <c r="B16" s="226" t="s">
        <v>73</v>
      </c>
      <c r="C16" s="227">
        <f>IF(B16&lt;&gt;"",VLOOKUP(B16,'Tipo Projeto'!$A$3:$B$44,2,0),0)</f>
        <v>1</v>
      </c>
      <c r="D16" s="228" t="s">
        <v>75</v>
      </c>
      <c r="E16" s="236"/>
      <c r="F16" s="233" t="s">
        <v>246</v>
      </c>
      <c r="G16" s="228" t="s">
        <v>78</v>
      </c>
      <c r="H16" s="229"/>
      <c r="I16" s="230">
        <v>4</v>
      </c>
      <c r="J16" s="225" t="s">
        <v>250</v>
      </c>
      <c r="K16" s="231">
        <v>1</v>
      </c>
      <c r="L16" s="237" t="s">
        <v>318</v>
      </c>
      <c r="M16" s="232" t="str">
        <f t="shared" si="14"/>
        <v>Simples</v>
      </c>
      <c r="N16" s="233" t="str">
        <f t="shared" si="15"/>
        <v/>
      </c>
      <c r="O16" s="234" t="str">
        <f t="shared" si="2"/>
        <v>Simples</v>
      </c>
      <c r="P16" s="235">
        <f t="shared" si="16"/>
        <v>3</v>
      </c>
      <c r="Q16" s="235">
        <f t="shared" si="17"/>
        <v>0</v>
      </c>
      <c r="R16" s="234">
        <f t="shared" si="18"/>
        <v>3</v>
      </c>
      <c r="S16" s="234">
        <f t="shared" si="19"/>
        <v>3</v>
      </c>
      <c r="T16" s="236" t="s">
        <v>357</v>
      </c>
      <c r="U16" s="236"/>
      <c r="W16" s="184"/>
      <c r="X16" s="56"/>
      <c r="Y16" s="155">
        <f>IF(X16&lt;&gt;"",VLOOKUP(X16,'Tipo Projeto'!$A$3:$B$44,2,0),0)</f>
        <v>0</v>
      </c>
      <c r="Z16" s="44"/>
      <c r="AA16" s="57"/>
      <c r="AB16" s="170"/>
      <c r="AC16" s="174"/>
      <c r="AD16" s="165"/>
      <c r="AE16" s="171" t="str">
        <f t="shared" si="7"/>
        <v/>
      </c>
      <c r="AF16" s="45" t="str">
        <f t="shared" si="8"/>
        <v/>
      </c>
      <c r="AG16" s="175" t="str">
        <f t="shared" si="9"/>
        <v/>
      </c>
      <c r="AH16" s="176">
        <f t="shared" si="10"/>
        <v>0</v>
      </c>
      <c r="AI16" s="176">
        <f t="shared" si="11"/>
        <v>0</v>
      </c>
      <c r="AJ16" s="185">
        <f t="shared" si="12"/>
        <v>0</v>
      </c>
      <c r="AK16" s="44"/>
      <c r="AM16" s="44"/>
      <c r="AO16" s="44"/>
      <c r="AP16" s="44" t="str">
        <f t="shared" si="13"/>
        <v/>
      </c>
    </row>
    <row r="17" spans="2:42" s="46" customFormat="1" ht="18.75" customHeight="1">
      <c r="B17" s="226" t="s">
        <v>73</v>
      </c>
      <c r="C17" s="227">
        <f>IF(B17&lt;&gt;"",VLOOKUP(B17,'Tipo Projeto'!$A$3:$B$44,2,0),0)</f>
        <v>1</v>
      </c>
      <c r="D17" s="228" t="s">
        <v>75</v>
      </c>
      <c r="E17" s="236"/>
      <c r="F17" s="233" t="s">
        <v>247</v>
      </c>
      <c r="G17" s="228" t="s">
        <v>80</v>
      </c>
      <c r="H17" s="229"/>
      <c r="I17" s="230">
        <v>6</v>
      </c>
      <c r="J17" s="225" t="s">
        <v>251</v>
      </c>
      <c r="K17" s="231">
        <v>2</v>
      </c>
      <c r="L17" s="237" t="s">
        <v>318</v>
      </c>
      <c r="M17" s="232" t="str">
        <f t="shared" si="14"/>
        <v>Médio</v>
      </c>
      <c r="N17" s="233" t="str">
        <f t="shared" si="15"/>
        <v/>
      </c>
      <c r="O17" s="234" t="str">
        <f t="shared" si="2"/>
        <v>Médio</v>
      </c>
      <c r="P17" s="235">
        <f t="shared" si="16"/>
        <v>5</v>
      </c>
      <c r="Q17" s="235">
        <f t="shared" si="17"/>
        <v>0</v>
      </c>
      <c r="R17" s="234">
        <f t="shared" si="18"/>
        <v>5</v>
      </c>
      <c r="S17" s="234">
        <f t="shared" si="19"/>
        <v>5</v>
      </c>
      <c r="T17" s="236" t="s">
        <v>357</v>
      </c>
      <c r="U17" s="236"/>
      <c r="W17" s="184"/>
      <c r="X17" s="56"/>
      <c r="Y17" s="155">
        <f>IF(X17&lt;&gt;"",VLOOKUP(X17,'Tipo Projeto'!$A$3:$B$44,2,0),0)</f>
        <v>0</v>
      </c>
      <c r="Z17" s="44"/>
      <c r="AA17" s="57"/>
      <c r="AB17" s="170"/>
      <c r="AC17" s="174"/>
      <c r="AD17" s="165"/>
      <c r="AE17" s="171" t="str">
        <f t="shared" si="7"/>
        <v/>
      </c>
      <c r="AF17" s="45" t="str">
        <f t="shared" si="8"/>
        <v/>
      </c>
      <c r="AG17" s="175" t="str">
        <f t="shared" si="9"/>
        <v/>
      </c>
      <c r="AH17" s="176">
        <f t="shared" si="10"/>
        <v>0</v>
      </c>
      <c r="AI17" s="176">
        <f t="shared" si="11"/>
        <v>0</v>
      </c>
      <c r="AJ17" s="185">
        <f t="shared" si="12"/>
        <v>0</v>
      </c>
      <c r="AK17" s="44"/>
      <c r="AM17" s="44"/>
      <c r="AO17" s="44"/>
      <c r="AP17" s="44" t="str">
        <f t="shared" si="13"/>
        <v/>
      </c>
    </row>
    <row r="18" spans="2:42" s="46" customFormat="1" ht="18.75" customHeight="1">
      <c r="B18" s="226" t="s">
        <v>73</v>
      </c>
      <c r="C18" s="227">
        <f>IF(B18&lt;&gt;"",VLOOKUP(B18,'Tipo Projeto'!$A$3:$B$44,2,0),0)</f>
        <v>1</v>
      </c>
      <c r="D18" s="228" t="s">
        <v>75</v>
      </c>
      <c r="E18" s="236"/>
      <c r="F18" s="233" t="s">
        <v>248</v>
      </c>
      <c r="G18" s="228" t="s">
        <v>78</v>
      </c>
      <c r="H18" s="229"/>
      <c r="I18" s="230">
        <v>4</v>
      </c>
      <c r="J18" s="225" t="s">
        <v>250</v>
      </c>
      <c r="K18" s="231">
        <v>1</v>
      </c>
      <c r="L18" s="237" t="s">
        <v>318</v>
      </c>
      <c r="M18" s="232" t="str">
        <f t="shared" si="14"/>
        <v>Simples</v>
      </c>
      <c r="N18" s="233" t="str">
        <f t="shared" si="15"/>
        <v/>
      </c>
      <c r="O18" s="234" t="str">
        <f t="shared" si="2"/>
        <v>Simples</v>
      </c>
      <c r="P18" s="235">
        <f t="shared" si="16"/>
        <v>3</v>
      </c>
      <c r="Q18" s="235">
        <f t="shared" si="17"/>
        <v>0</v>
      </c>
      <c r="R18" s="234">
        <f t="shared" si="18"/>
        <v>3</v>
      </c>
      <c r="S18" s="234">
        <f t="shared" si="19"/>
        <v>3</v>
      </c>
      <c r="T18" s="236" t="s">
        <v>357</v>
      </c>
      <c r="U18" s="236"/>
      <c r="W18" s="184"/>
      <c r="X18" s="56"/>
      <c r="Y18" s="155">
        <f>IF(X18&lt;&gt;"",VLOOKUP(X18,'Tipo Projeto'!$A$3:$B$44,2,0),0)</f>
        <v>0</v>
      </c>
      <c r="Z18" s="44"/>
      <c r="AA18" s="57"/>
      <c r="AB18" s="170"/>
      <c r="AC18" s="174"/>
      <c r="AD18" s="165"/>
      <c r="AE18" s="171" t="str">
        <f t="shared" si="7"/>
        <v/>
      </c>
      <c r="AF18" s="45" t="str">
        <f t="shared" si="8"/>
        <v/>
      </c>
      <c r="AG18" s="175" t="str">
        <f t="shared" si="9"/>
        <v/>
      </c>
      <c r="AH18" s="176">
        <f t="shared" si="10"/>
        <v>0</v>
      </c>
      <c r="AI18" s="176">
        <f t="shared" si="11"/>
        <v>0</v>
      </c>
      <c r="AJ18" s="185">
        <f t="shared" si="12"/>
        <v>0</v>
      </c>
      <c r="AK18" s="44"/>
      <c r="AM18" s="44"/>
      <c r="AO18" s="44"/>
      <c r="AP18" s="44" t="str">
        <f t="shared" si="13"/>
        <v/>
      </c>
    </row>
    <row r="19" spans="2:42" s="46" customFormat="1" ht="18.75" customHeight="1">
      <c r="B19" s="226" t="s">
        <v>73</v>
      </c>
      <c r="C19" s="227">
        <f>IF(B19&lt;&gt;"",VLOOKUP(B19,'Tipo Projeto'!$A$3:$B$44,2,0),0)</f>
        <v>1</v>
      </c>
      <c r="D19" s="228" t="s">
        <v>75</v>
      </c>
      <c r="E19" s="236"/>
      <c r="F19" s="233" t="s">
        <v>252</v>
      </c>
      <c r="G19" s="228" t="s">
        <v>80</v>
      </c>
      <c r="H19" s="229"/>
      <c r="I19" s="230"/>
      <c r="J19" s="225"/>
      <c r="K19" s="231"/>
      <c r="L19" s="237"/>
      <c r="M19" s="232" t="str">
        <f t="shared" si="14"/>
        <v/>
      </c>
      <c r="N19" s="233" t="str">
        <f t="shared" si="15"/>
        <v/>
      </c>
      <c r="O19" s="234" t="str">
        <f t="shared" si="2"/>
        <v/>
      </c>
      <c r="P19" s="235">
        <f t="shared" si="16"/>
        <v>0</v>
      </c>
      <c r="Q19" s="235">
        <f t="shared" si="17"/>
        <v>0</v>
      </c>
      <c r="R19" s="234">
        <f t="shared" si="18"/>
        <v>0</v>
      </c>
      <c r="S19" s="234">
        <f t="shared" si="19"/>
        <v>0</v>
      </c>
      <c r="T19" s="236" t="s">
        <v>357</v>
      </c>
      <c r="U19" s="236" t="s">
        <v>253</v>
      </c>
      <c r="W19" s="184"/>
      <c r="X19" s="56"/>
      <c r="Y19" s="155">
        <f>IF(X19&lt;&gt;"",VLOOKUP(X19,'Tipo Projeto'!$A$3:$B$44,2,0),0)</f>
        <v>0</v>
      </c>
      <c r="Z19" s="44"/>
      <c r="AA19" s="57"/>
      <c r="AB19" s="170"/>
      <c r="AC19" s="174"/>
      <c r="AD19" s="165"/>
      <c r="AE19" s="171" t="str">
        <f t="shared" si="7"/>
        <v/>
      </c>
      <c r="AF19" s="45" t="str">
        <f t="shared" si="8"/>
        <v/>
      </c>
      <c r="AG19" s="175" t="str">
        <f t="shared" si="9"/>
        <v/>
      </c>
      <c r="AH19" s="176">
        <f t="shared" si="10"/>
        <v>0</v>
      </c>
      <c r="AI19" s="176">
        <f t="shared" si="11"/>
        <v>0</v>
      </c>
      <c r="AJ19" s="185">
        <f t="shared" si="12"/>
        <v>0</v>
      </c>
      <c r="AK19" s="44"/>
      <c r="AM19" s="44"/>
      <c r="AO19" s="44"/>
      <c r="AP19" s="44" t="str">
        <f t="shared" si="13"/>
        <v/>
      </c>
    </row>
    <row r="20" spans="2:42" s="46" customFormat="1" ht="18.75" customHeight="1">
      <c r="B20" s="226" t="s">
        <v>73</v>
      </c>
      <c r="C20" s="227">
        <f>IF(B20&lt;&gt;"",VLOOKUP(B20,'Tipo Projeto'!$A$3:$B$44,2,0),0)</f>
        <v>1</v>
      </c>
      <c r="D20" s="228" t="s">
        <v>75</v>
      </c>
      <c r="E20" s="236"/>
      <c r="F20" s="233" t="s">
        <v>256</v>
      </c>
      <c r="G20" s="228" t="s">
        <v>78</v>
      </c>
      <c r="H20" s="229"/>
      <c r="I20" s="230">
        <v>3</v>
      </c>
      <c r="J20" s="225" t="s">
        <v>257</v>
      </c>
      <c r="K20" s="231">
        <v>1</v>
      </c>
      <c r="L20" s="237" t="s">
        <v>75</v>
      </c>
      <c r="M20" s="232" t="str">
        <f t="shared" si="14"/>
        <v>Simples</v>
      </c>
      <c r="N20" s="233" t="str">
        <f t="shared" si="15"/>
        <v/>
      </c>
      <c r="O20" s="234" t="str">
        <f t="shared" si="2"/>
        <v>Simples</v>
      </c>
      <c r="P20" s="235">
        <f t="shared" si="16"/>
        <v>3</v>
      </c>
      <c r="Q20" s="235">
        <f t="shared" si="17"/>
        <v>0</v>
      </c>
      <c r="R20" s="234">
        <f t="shared" si="18"/>
        <v>3</v>
      </c>
      <c r="S20" s="234">
        <f t="shared" si="19"/>
        <v>3</v>
      </c>
      <c r="T20" s="236" t="s">
        <v>357</v>
      </c>
      <c r="U20" s="236"/>
      <c r="W20" s="184"/>
      <c r="X20" s="56"/>
      <c r="Y20" s="155">
        <f>IF(X20&lt;&gt;"",VLOOKUP(X20,'Tipo Projeto'!$A$3:$B$44,2,0),0)</f>
        <v>0</v>
      </c>
      <c r="Z20" s="44"/>
      <c r="AA20" s="57"/>
      <c r="AB20" s="170"/>
      <c r="AC20" s="174"/>
      <c r="AD20" s="165"/>
      <c r="AE20" s="171" t="str">
        <f t="shared" si="7"/>
        <v/>
      </c>
      <c r="AF20" s="45" t="str">
        <f t="shared" si="8"/>
        <v/>
      </c>
      <c r="AG20" s="175" t="str">
        <f t="shared" si="9"/>
        <v/>
      </c>
      <c r="AH20" s="176">
        <f t="shared" si="10"/>
        <v>0</v>
      </c>
      <c r="AI20" s="176">
        <f t="shared" si="11"/>
        <v>0</v>
      </c>
      <c r="AJ20" s="185">
        <f t="shared" si="12"/>
        <v>0</v>
      </c>
      <c r="AK20" s="44"/>
      <c r="AM20" s="44"/>
      <c r="AO20" s="44"/>
      <c r="AP20" s="44" t="str">
        <f t="shared" si="13"/>
        <v/>
      </c>
    </row>
    <row r="21" spans="2:42" s="46" customFormat="1" ht="18.75" customHeight="1">
      <c r="B21" s="226"/>
      <c r="C21" s="227">
        <f>IF(B21&lt;&gt;"",VLOOKUP(B21,'Tipo Projeto'!$A$3:$B$44,2,0),0)</f>
        <v>0</v>
      </c>
      <c r="D21" s="228"/>
      <c r="E21" s="236"/>
      <c r="F21" s="233"/>
      <c r="G21" s="228"/>
      <c r="H21" s="229"/>
      <c r="I21" s="230"/>
      <c r="J21" s="225"/>
      <c r="K21" s="231"/>
      <c r="L21" s="237"/>
      <c r="M21" s="232" t="str">
        <f t="shared" si="14"/>
        <v/>
      </c>
      <c r="N21" s="233" t="str">
        <f t="shared" si="15"/>
        <v/>
      </c>
      <c r="O21" s="234" t="str">
        <f t="shared" si="2"/>
        <v/>
      </c>
      <c r="P21" s="235">
        <f t="shared" si="16"/>
        <v>0</v>
      </c>
      <c r="Q21" s="235">
        <f t="shared" si="17"/>
        <v>0</v>
      </c>
      <c r="R21" s="234">
        <f t="shared" si="18"/>
        <v>0</v>
      </c>
      <c r="S21" s="234">
        <f t="shared" si="19"/>
        <v>0</v>
      </c>
      <c r="T21" s="236"/>
      <c r="U21" s="236"/>
      <c r="W21" s="184"/>
      <c r="X21" s="56"/>
      <c r="Y21" s="155">
        <f>IF(X21&lt;&gt;"",VLOOKUP(X21,'Tipo Projeto'!$A$3:$B$44,2,0),0)</f>
        <v>0</v>
      </c>
      <c r="Z21" s="44"/>
      <c r="AA21" s="57"/>
      <c r="AB21" s="170"/>
      <c r="AC21" s="174"/>
      <c r="AD21" s="165"/>
      <c r="AE21" s="171" t="str">
        <f t="shared" si="7"/>
        <v/>
      </c>
      <c r="AF21" s="45" t="str">
        <f t="shared" si="8"/>
        <v/>
      </c>
      <c r="AG21" s="175" t="str">
        <f t="shared" si="9"/>
        <v/>
      </c>
      <c r="AH21" s="176">
        <f t="shared" si="10"/>
        <v>0</v>
      </c>
      <c r="AI21" s="176">
        <f t="shared" si="11"/>
        <v>0</v>
      </c>
      <c r="AJ21" s="185">
        <f t="shared" si="12"/>
        <v>0</v>
      </c>
      <c r="AK21" s="44"/>
      <c r="AM21" s="44"/>
      <c r="AO21" s="44"/>
      <c r="AP21" s="44" t="str">
        <f t="shared" si="13"/>
        <v/>
      </c>
    </row>
    <row r="22" spans="2:42" s="46" customFormat="1" ht="18.75" customHeight="1">
      <c r="B22" s="226" t="s">
        <v>73</v>
      </c>
      <c r="C22" s="227">
        <f>IF(B22&lt;&gt;"",VLOOKUP(B22,'Tipo Projeto'!$A$3:$B$44,2,0),0)</f>
        <v>1</v>
      </c>
      <c r="D22" s="228" t="s">
        <v>76</v>
      </c>
      <c r="E22" s="236"/>
      <c r="F22" s="233" t="s">
        <v>254</v>
      </c>
      <c r="G22" s="228" t="s">
        <v>79</v>
      </c>
      <c r="H22" s="229"/>
      <c r="I22" s="230">
        <v>6</v>
      </c>
      <c r="J22" s="225" t="s">
        <v>255</v>
      </c>
      <c r="K22" s="231">
        <v>2</v>
      </c>
      <c r="L22" s="237" t="s">
        <v>269</v>
      </c>
      <c r="M22" s="232" t="str">
        <f t="shared" si="14"/>
        <v>Médio</v>
      </c>
      <c r="N22" s="233" t="str">
        <f t="shared" si="15"/>
        <v/>
      </c>
      <c r="O22" s="234" t="str">
        <f t="shared" si="2"/>
        <v>Médio</v>
      </c>
      <c r="P22" s="235">
        <f t="shared" si="16"/>
        <v>4</v>
      </c>
      <c r="Q22" s="235">
        <f t="shared" si="17"/>
        <v>0</v>
      </c>
      <c r="R22" s="234">
        <f t="shared" si="18"/>
        <v>4</v>
      </c>
      <c r="S22" s="234">
        <f t="shared" si="19"/>
        <v>4</v>
      </c>
      <c r="T22" s="236" t="s">
        <v>358</v>
      </c>
      <c r="U22" s="236"/>
      <c r="W22" s="184"/>
      <c r="X22" s="56"/>
      <c r="Y22" s="155">
        <f>IF(X22&lt;&gt;"",VLOOKUP(X22,'Tipo Projeto'!$A$3:$B$44,2,0),0)</f>
        <v>0</v>
      </c>
      <c r="Z22" s="44"/>
      <c r="AA22" s="57"/>
      <c r="AB22" s="170"/>
      <c r="AC22" s="174"/>
      <c r="AD22" s="165"/>
      <c r="AE22" s="171" t="str">
        <f t="shared" si="7"/>
        <v/>
      </c>
      <c r="AF22" s="45" t="str">
        <f t="shared" si="8"/>
        <v/>
      </c>
      <c r="AG22" s="175" t="str">
        <f t="shared" si="9"/>
        <v/>
      </c>
      <c r="AH22" s="176">
        <f t="shared" si="10"/>
        <v>0</v>
      </c>
      <c r="AI22" s="176">
        <f t="shared" si="11"/>
        <v>0</v>
      </c>
      <c r="AJ22" s="185">
        <f t="shared" si="12"/>
        <v>0</v>
      </c>
      <c r="AK22" s="44"/>
      <c r="AM22" s="44"/>
      <c r="AO22" s="44"/>
      <c r="AP22" s="44" t="str">
        <f t="shared" si="13"/>
        <v/>
      </c>
    </row>
    <row r="23" spans="2:42" s="46" customFormat="1" ht="18.75" customHeight="1">
      <c r="B23" s="226" t="s">
        <v>73</v>
      </c>
      <c r="C23" s="227">
        <f>IF(B23&lt;&gt;"",VLOOKUP(B23,'Tipo Projeto'!$A$3:$B$44,2,0),0)</f>
        <v>1</v>
      </c>
      <c r="D23" s="228" t="s">
        <v>76</v>
      </c>
      <c r="E23" s="236"/>
      <c r="F23" s="233" t="s">
        <v>264</v>
      </c>
      <c r="G23" s="228" t="s">
        <v>78</v>
      </c>
      <c r="H23" s="229"/>
      <c r="I23" s="230">
        <v>4</v>
      </c>
      <c r="J23" s="225" t="s">
        <v>250</v>
      </c>
      <c r="K23" s="231">
        <v>1</v>
      </c>
      <c r="L23" s="237" t="s">
        <v>76</v>
      </c>
      <c r="M23" s="232" t="str">
        <f t="shared" si="14"/>
        <v>Simples</v>
      </c>
      <c r="N23" s="233" t="str">
        <f t="shared" si="15"/>
        <v/>
      </c>
      <c r="O23" s="234" t="str">
        <f t="shared" si="2"/>
        <v>Simples</v>
      </c>
      <c r="P23" s="235">
        <f t="shared" si="16"/>
        <v>3</v>
      </c>
      <c r="Q23" s="235">
        <f t="shared" si="17"/>
        <v>0</v>
      </c>
      <c r="R23" s="234">
        <f t="shared" si="18"/>
        <v>3</v>
      </c>
      <c r="S23" s="234">
        <f t="shared" si="19"/>
        <v>3</v>
      </c>
      <c r="T23" s="236" t="s">
        <v>358</v>
      </c>
      <c r="U23" s="236"/>
      <c r="W23" s="184"/>
      <c r="X23" s="56"/>
      <c r="Y23" s="155">
        <f>IF(X23&lt;&gt;"",VLOOKUP(X23,'Tipo Projeto'!$A$3:$B$44,2,0),0)</f>
        <v>0</v>
      </c>
      <c r="Z23" s="44"/>
      <c r="AA23" s="57"/>
      <c r="AB23" s="170"/>
      <c r="AC23" s="174"/>
      <c r="AD23" s="165"/>
      <c r="AE23" s="171" t="str">
        <f t="shared" ref="AE23:AE191" si="20">IF(Z23="EE",IF(OR(AND(OR(AC23=1,AC23=0),AA23&gt;0,AA23&lt;5),AND(OR(AC23=1,AC23=0),AA23&gt;4,AA23&lt;16),AND(AC23=2,AA23&gt;0,AA23&lt;5)),"Simples",IF(OR(AND(OR(AC23=1,AC23=0),AA23&gt;15),AND(AC23=2,AA23&gt;4,AA23&lt;16),AND(AC23&gt;2,AA23&gt;0,AA23&lt;5)),"Médio",IF(OR(AND(AC23=2,AA23&gt;15),AND(AC23&gt;2,AA23&gt;4,AA23&lt;16),AND(AC23&gt;2,AA23&gt;15)),"Complexo",""))),
IF(OR(Z23="CE",Z23="SE"),IF(OR(AND(OR(AC23=1,AC23=0),AA23&gt;0,AA23&lt;6),AND(OR(AC23=1,AC23=0),AA23&gt;5,AA23&lt;20),AND(AC23&gt;1,AC23&lt;4,AA23&gt;0,AA23&lt;6)),"Simples",IF(OR(AND(OR(AC23=1,AC23=0),AA23&gt;19),AND(AC23&gt;1,AC23&lt;4,AA23&gt;5,AA23&lt;20),AND(AC23&gt;3,AA23&gt;0,AA23&lt;6)),"Médio",IF(OR(AND(AC23&gt;1,AC23&lt;4,AA23&gt;19),AND(AC23&gt;3,AA23&gt;5,AA23&lt;20),AND(AC23&gt;3,AA23&gt;19)),"Complexo",""))),""))</f>
        <v/>
      </c>
      <c r="AF23" s="45" t="str">
        <f t="shared" ref="AF23:AF191" si="21">IF(Z23="ALI",IF(OR(AND(OR(AC23=1,AC23=0),AA23&gt;0,AA23&lt;20),AND(OR(AC23=1,AC23=0),AA23&gt;19,AA23&lt;51),AND(AC23&gt;1,AC23&lt;6,AA23&gt;0,AA23&lt;20)),"Simples",IF(OR(AND(OR(AC23=1,AC23=0),AA23&gt;50),AND(AC23&gt;1,AC23&lt;6,AA23&gt;19,AA23&lt;51),AND(AC23&gt;5,AA23&gt;0,AA23&lt;20)),"Médio",IF(OR(AND(AC23&gt;1,AC23&lt;6,AA23&gt;50),AND(AC23&gt;5,AA23&gt;19,AA23&lt;51),AND(AC23&gt;5,AA23&gt;50)),"Complexo",""))),
IF(Z23="AIE",IF(OR(AND(OR(AC23=1, AC23=0),AA23&gt;0,AA23&lt;20),AND(OR(AC23=1, AC23=0),AA23&gt;19,AA23&lt;51),AND(AC23&gt;1,AC23&lt;6,AA23&gt;0,AA23&lt;20)),"Simples",IF(OR(AND(OR(AC23=1, AC23=0),AA23&gt;50),AND(AC23&gt;1,AC23&lt;6,AA23&gt;19,AA23&lt;51),AND(AC23&gt;5,AA23&gt;0,AA23&lt;20)),"Médio",IF(OR(AND(AC23&gt;1,AC23&lt;6,AA23&gt;50),AND(AC23&gt;5,AA23&gt;19,AA23&lt;51),AND(AC23&gt;5,AA23&gt;50)),"Complexo",""))),""))</f>
        <v/>
      </c>
      <c r="AG23" s="175" t="str">
        <f t="shared" ref="AG23:AG191" si="22">IF(AE23="",AF23,IF(AF23="",AE23,""))</f>
        <v/>
      </c>
      <c r="AH23" s="176">
        <f t="shared" ref="AH23:AH191" si="23">IF(AND(OR(Z23="EE",Z23="CE"),AG23="Simples"),3,
IF(AND(OR(Z23="EE",Z23="CE"),AG23="Médio"),4,
IF(AND(OR(Z23="EE",Z23="CE"),AG23="Complexo"),6,
IF(AND(Z23="SE",AG23="Simples"),4,
IF(AND(Z23="SE",AG23="Médio"),5,
IF(AND(Z23="SE",AG23="Complexo"),7,0))))))</f>
        <v>0</v>
      </c>
      <c r="AI23" s="176">
        <f t="shared" ref="AI23:AI191" si="24">IF(AND(Z23="ALI",AF23="Simples"),7,
IF(AND(Z23="ALI",AF23="Médio"),10,
IF(AND(Z23="ALI",AF23="Complexo"),15,
IF(AND(Z23="AIE",AF23="Simples"),5,
IF(AND(Z23="AIE",AF23="Médio"),7,
IF(AND(Z23="AIE",AF23="Complexo"),10,0))))))</f>
        <v>0</v>
      </c>
      <c r="AJ23" s="185">
        <f t="shared" ref="AJ23:AJ191" si="25">IF(W23="OK",S23,(
IF(X23&lt;&gt;"Manutenção em interface",IF(X23&lt;&gt;"Desenv., Manutenção e Publicação de Páginas Estáticas",(AH23+AI23)*Y23,Y23),Y23)))</f>
        <v>0</v>
      </c>
      <c r="AK23" s="44"/>
      <c r="AM23" s="44"/>
      <c r="AO23" s="44"/>
      <c r="AP23" s="44" t="str">
        <f t="shared" ref="AP23:AP191" si="26">IF(AJ23=0,"",IF(AJ23=S23,"OK","Divergente"))</f>
        <v/>
      </c>
    </row>
    <row r="24" spans="2:42" s="46" customFormat="1" ht="18.75" customHeight="1">
      <c r="B24" s="226" t="s">
        <v>73</v>
      </c>
      <c r="C24" s="227">
        <f>IF(B24&lt;&gt;"",VLOOKUP(B24,'Tipo Projeto'!$A$3:$B$44,2,0),0)</f>
        <v>1</v>
      </c>
      <c r="D24" s="228" t="s">
        <v>76</v>
      </c>
      <c r="E24" s="236"/>
      <c r="F24" s="233" t="s">
        <v>265</v>
      </c>
      <c r="G24" s="228" t="s">
        <v>80</v>
      </c>
      <c r="H24" s="229"/>
      <c r="I24" s="230">
        <v>7</v>
      </c>
      <c r="J24" s="225" t="s">
        <v>270</v>
      </c>
      <c r="K24" s="231">
        <v>2</v>
      </c>
      <c r="L24" s="237" t="s">
        <v>271</v>
      </c>
      <c r="M24" s="232" t="str">
        <f t="shared" si="14"/>
        <v>Médio</v>
      </c>
      <c r="N24" s="233" t="str">
        <f t="shared" si="15"/>
        <v/>
      </c>
      <c r="O24" s="234" t="str">
        <f t="shared" si="2"/>
        <v>Médio</v>
      </c>
      <c r="P24" s="235">
        <f t="shared" si="16"/>
        <v>5</v>
      </c>
      <c r="Q24" s="235">
        <f t="shared" si="17"/>
        <v>0</v>
      </c>
      <c r="R24" s="234">
        <f t="shared" si="18"/>
        <v>5</v>
      </c>
      <c r="S24" s="234">
        <f t="shared" si="19"/>
        <v>5</v>
      </c>
      <c r="T24" s="236" t="s">
        <v>358</v>
      </c>
      <c r="U24" s="236"/>
      <c r="W24" s="184"/>
      <c r="X24" s="56"/>
      <c r="Y24" s="155">
        <f>IF(X24&lt;&gt;"",VLOOKUP(X24,'Tipo Projeto'!$A$3:$B$44,2,0),0)</f>
        <v>0</v>
      </c>
      <c r="Z24" s="44"/>
      <c r="AA24" s="57"/>
      <c r="AB24" s="170"/>
      <c r="AC24" s="174"/>
      <c r="AD24" s="165"/>
      <c r="AE24" s="171" t="str">
        <f t="shared" si="20"/>
        <v/>
      </c>
      <c r="AF24" s="45" t="str">
        <f t="shared" si="21"/>
        <v/>
      </c>
      <c r="AG24" s="175" t="str">
        <f t="shared" si="22"/>
        <v/>
      </c>
      <c r="AH24" s="176">
        <f t="shared" si="23"/>
        <v>0</v>
      </c>
      <c r="AI24" s="176">
        <f t="shared" si="24"/>
        <v>0</v>
      </c>
      <c r="AJ24" s="185">
        <f t="shared" si="25"/>
        <v>0</v>
      </c>
      <c r="AK24" s="44"/>
      <c r="AM24" s="44"/>
      <c r="AO24" s="44"/>
      <c r="AP24" s="44" t="str">
        <f t="shared" si="26"/>
        <v/>
      </c>
    </row>
    <row r="25" spans="2:42" s="46" customFormat="1" ht="18.75" customHeight="1">
      <c r="B25" s="226" t="s">
        <v>73</v>
      </c>
      <c r="C25" s="227">
        <f>IF(B25&lt;&gt;"",VLOOKUP(B25,'Tipo Projeto'!$A$3:$B$44,2,0),0)</f>
        <v>1</v>
      </c>
      <c r="D25" s="228" t="s">
        <v>76</v>
      </c>
      <c r="E25" s="236"/>
      <c r="F25" s="233" t="s">
        <v>266</v>
      </c>
      <c r="G25" s="228" t="s">
        <v>78</v>
      </c>
      <c r="H25" s="229"/>
      <c r="I25" s="230">
        <v>4</v>
      </c>
      <c r="J25" s="225" t="s">
        <v>250</v>
      </c>
      <c r="K25" s="231">
        <v>1</v>
      </c>
      <c r="L25" s="237" t="s">
        <v>76</v>
      </c>
      <c r="M25" s="232" t="str">
        <f t="shared" si="14"/>
        <v>Simples</v>
      </c>
      <c r="N25" s="233" t="str">
        <f t="shared" si="15"/>
        <v/>
      </c>
      <c r="O25" s="234" t="str">
        <f t="shared" si="2"/>
        <v>Simples</v>
      </c>
      <c r="P25" s="235">
        <f t="shared" si="16"/>
        <v>3</v>
      </c>
      <c r="Q25" s="235">
        <f t="shared" si="17"/>
        <v>0</v>
      </c>
      <c r="R25" s="234">
        <f t="shared" si="18"/>
        <v>3</v>
      </c>
      <c r="S25" s="234">
        <f t="shared" si="19"/>
        <v>3</v>
      </c>
      <c r="T25" s="236" t="s">
        <v>358</v>
      </c>
      <c r="U25" s="236"/>
      <c r="W25" s="184"/>
      <c r="X25" s="56"/>
      <c r="Y25" s="155">
        <f>IF(X25&lt;&gt;"",VLOOKUP(X25,'Tipo Projeto'!$A$3:$B$44,2,0),0)</f>
        <v>0</v>
      </c>
      <c r="Z25" s="44"/>
      <c r="AA25" s="57"/>
      <c r="AB25" s="170"/>
      <c r="AC25" s="174"/>
      <c r="AD25" s="165"/>
      <c r="AE25" s="171" t="str">
        <f t="shared" si="20"/>
        <v/>
      </c>
      <c r="AF25" s="45" t="str">
        <f t="shared" si="21"/>
        <v/>
      </c>
      <c r="AG25" s="175" t="str">
        <f t="shared" si="22"/>
        <v/>
      </c>
      <c r="AH25" s="176">
        <f t="shared" si="23"/>
        <v>0</v>
      </c>
      <c r="AI25" s="176">
        <f t="shared" si="24"/>
        <v>0</v>
      </c>
      <c r="AJ25" s="185">
        <f t="shared" si="25"/>
        <v>0</v>
      </c>
      <c r="AK25" s="44"/>
      <c r="AM25" s="44"/>
      <c r="AO25" s="44"/>
      <c r="AP25" s="44" t="str">
        <f t="shared" si="26"/>
        <v/>
      </c>
    </row>
    <row r="26" spans="2:42" s="46" customFormat="1" ht="18.75" customHeight="1">
      <c r="B26" s="226" t="s">
        <v>73</v>
      </c>
      <c r="C26" s="227">
        <f>IF(B26&lt;&gt;"",VLOOKUP(B26,'Tipo Projeto'!$A$3:$B$44,2,0),0)</f>
        <v>1</v>
      </c>
      <c r="D26" s="228" t="s">
        <v>76</v>
      </c>
      <c r="E26" s="236"/>
      <c r="F26" s="233" t="s">
        <v>267</v>
      </c>
      <c r="G26" s="228"/>
      <c r="H26" s="229"/>
      <c r="I26" s="230"/>
      <c r="J26" s="225"/>
      <c r="K26" s="231"/>
      <c r="L26" s="237"/>
      <c r="M26" s="232" t="str">
        <f t="shared" si="14"/>
        <v/>
      </c>
      <c r="N26" s="233" t="str">
        <f t="shared" si="15"/>
        <v/>
      </c>
      <c r="O26" s="234" t="str">
        <f t="shared" si="2"/>
        <v/>
      </c>
      <c r="P26" s="235">
        <f t="shared" si="16"/>
        <v>0</v>
      </c>
      <c r="Q26" s="235">
        <f t="shared" si="17"/>
        <v>0</v>
      </c>
      <c r="R26" s="234">
        <f t="shared" si="18"/>
        <v>0</v>
      </c>
      <c r="S26" s="234">
        <f t="shared" si="19"/>
        <v>0</v>
      </c>
      <c r="T26" s="236" t="s">
        <v>358</v>
      </c>
      <c r="U26" s="236" t="s">
        <v>359</v>
      </c>
      <c r="W26" s="184"/>
      <c r="X26" s="56"/>
      <c r="Y26" s="155">
        <f>IF(X26&lt;&gt;"",VLOOKUP(X26,'Tipo Projeto'!$A$3:$B$44,2,0),0)</f>
        <v>0</v>
      </c>
      <c r="Z26" s="44"/>
      <c r="AA26" s="57"/>
      <c r="AB26" s="170"/>
      <c r="AC26" s="174"/>
      <c r="AD26" s="165"/>
      <c r="AE26" s="171" t="str">
        <f t="shared" si="20"/>
        <v/>
      </c>
      <c r="AF26" s="45" t="str">
        <f t="shared" si="21"/>
        <v/>
      </c>
      <c r="AG26" s="175" t="str">
        <f t="shared" si="22"/>
        <v/>
      </c>
      <c r="AH26" s="176">
        <f t="shared" si="23"/>
        <v>0</v>
      </c>
      <c r="AI26" s="176">
        <f t="shared" si="24"/>
        <v>0</v>
      </c>
      <c r="AJ26" s="185">
        <f t="shared" si="25"/>
        <v>0</v>
      </c>
      <c r="AK26" s="44"/>
      <c r="AM26" s="44"/>
      <c r="AO26" s="44"/>
      <c r="AP26" s="44" t="str">
        <f t="shared" si="26"/>
        <v/>
      </c>
    </row>
    <row r="27" spans="2:42" s="46" customFormat="1" ht="18.75" customHeight="1">
      <c r="B27" s="226" t="s">
        <v>73</v>
      </c>
      <c r="C27" s="227">
        <f>IF(B27&lt;&gt;"",VLOOKUP(B27,'Tipo Projeto'!$A$3:$B$44,2,0),0)</f>
        <v>1</v>
      </c>
      <c r="D27" s="228" t="s">
        <v>76</v>
      </c>
      <c r="E27" s="236"/>
      <c r="F27" s="233" t="s">
        <v>268</v>
      </c>
      <c r="G27" s="228" t="s">
        <v>78</v>
      </c>
      <c r="H27" s="229"/>
      <c r="I27" s="230">
        <v>3</v>
      </c>
      <c r="J27" s="225" t="s">
        <v>272</v>
      </c>
      <c r="K27" s="231">
        <v>1</v>
      </c>
      <c r="L27" s="237" t="s">
        <v>76</v>
      </c>
      <c r="M27" s="232" t="str">
        <f t="shared" ref="M27" si="27">IF(G27="EE",IF(OR(AND(OR(K27=1,K27=0),I27&gt;0,I27&lt;5),AND(OR(K27=1,K27=0),I27&gt;4,I27&lt;16),AND(K27=2,I27&gt;0,I27&lt;5)),"Simples",IF(OR(AND(OR(K27=1,K27=0),I27&gt;15),AND(K27=2,I27&gt;4,I27&lt;16),AND(K27&gt;2,I27&gt;0,I27&lt;5)),"Médio",IF(OR(AND(K27=2,I27&gt;15),AND(K27&gt;2,I27&gt;4,I27&lt;16),AND(K27&gt;2,I27&gt;15)),"Complexo",""))),
IF(OR(G27="CE",G27="SE"),IF(OR(AND(OR(K27=1,K27=0),I27&gt;0,I27&lt;6),AND(OR(K27=1,K27=0),I27&gt;5,I27&lt;20),AND(K27&gt;1,K27&lt;4,I27&gt;0,I27&lt;6)),"Simples",IF(OR(AND(OR(K27=1,K27=0),I27&gt;19),AND(K27&gt;1,K27&lt;4,I27&gt;5,I27&lt;20),AND(K27&gt;3,I27&gt;0,I27&lt;6)),"Médio",IF(OR(AND(K27&gt;1,K27&lt;4,I27&gt;19),AND(K27&gt;3,I27&gt;5,I27&lt;20),AND(K27&gt;3,I27&gt;19)),"Complexo",""))),""))</f>
        <v>Simples</v>
      </c>
      <c r="N27" s="233" t="str">
        <f t="shared" ref="N27" si="28">IF(G27="ALI",IF(OR(AND(OR(K27=1,K27=0),I27&gt;0,I27&lt;20),AND(OR(K27=1,K27=0),I27&gt;19,I27&lt;51),AND(K27&gt;1,K27&lt;6,I27&gt;0,I27&lt;20)),"Simples",IF(OR(AND(OR(K27=1,K27=0),I27&gt;50),AND(K27&gt;1,K27&lt;6,I27&gt;19,I27&lt;51),AND(K27&gt;5,I27&gt;0,I27&lt;20)),"Médio",IF(OR(AND(K27&gt;1,K27&lt;6,I27&gt;50),AND(K27&gt;5,I27&gt;19,I27&lt;51),AND(K27&gt;5,I27&gt;50)),"Complexo",""))),
IF(G27="AIE",IF(OR(AND(OR(K27=1, K27=0),I27&gt;0,I27&lt;20),AND(OR(K27=1, K27=0),I27&gt;19,I27&lt;51),AND(K27&gt;1,K27&lt;6,I27&gt;0,I27&lt;20)),"Simples",IF(OR(AND(OR(K27=1, K27=0),I27&gt;50),AND(K27&gt;1,K27&lt;6,I27&gt;19,I27&lt;51),AND(K27&gt;5,I27&gt;0,I27&lt;20)),"Médio",IF(OR(AND(K27&gt;1,K27&lt;6,I27&gt;50),AND(K27&gt;5,I27&gt;19,I27&lt;51),AND(K27&gt;5,I27&gt;50)),"Complexo",""))),""))</f>
        <v/>
      </c>
      <c r="O27" s="234" t="str">
        <f t="shared" ref="O27" si="29">IF(M27="",N27,IF(N27="",M27,""))</f>
        <v>Simples</v>
      </c>
      <c r="P27" s="235">
        <f t="shared" ref="P27" si="30">IF(AND(OR(G27="EE",G27="CE"),O27="Simples"),3,
IF(AND(OR(G27="EE",G27="CE"),O27="Médio"),4,
IF(AND(OR(G27="EE",G27="CE"),O27="Complexo"),6,
IF(AND(G27="SE",O27="Simples"),4,
IF(AND(G27="SE",O27="Médio"),5,
IF(AND(G27="SE",O27="Complexo"),7,0))))))</f>
        <v>3</v>
      </c>
      <c r="Q27" s="235">
        <f t="shared" ref="Q27" si="31">IF(AND(G27="ALI",N27="Simples"),7,
IF(AND(G27="ALI",N27="Médio"),10,
IF(AND(G27="ALI",N27="Complexo"),15,
IF(AND(G27="AIE",N27="Simples"),5,
IF(AND(G27="AIE",N27="Médio"),7,
IF(AND(G27="AIE",N27="Complexo"),10,0))))))</f>
        <v>0</v>
      </c>
      <c r="R27" s="234">
        <f t="shared" ref="R27" si="32">IF(G27="INM",C27*H27,IF(AND(OR(G27="EE",G27="CE"),O27="Simples"),3,
IF(AND(OR(G27="EE",G27="CE"),O27="Médio"),4,
IF(AND(OR(G27="EE",G27="CE"),O27="Complexo"),6,
IF(AND(G27="SE",O27="Simples"),4,
IF(AND(G27="SE",O27="Médio"),5,
IF(AND(G27="SE",O27="Complexo"),7,
IF(AND(G27="ALI",O27="Médio"),10,
IF(AND(G27="ALI",O27="Simples"),7,
IF(AND(G27="ALI",O27="Complexo"),15,
IF(AND(G27="AIE",O27="Simples"),5,
IF(AND(G27="AIE",O27="Médio"),7,
IF(AND(G27="AIE",O27="Complexo"),10,0))
)))))))))))</f>
        <v>3</v>
      </c>
      <c r="S27" s="234">
        <f t="shared" ref="S27" si="33">IF(G27="INM",C27*H27,IF(B27&lt;&gt;"Manutenção em interface",IF(B27&lt;&gt;"Desenv., Manutenção e Publicação de Páginas Estáticas",(P27+Q27)*C27,C27),C27))</f>
        <v>3</v>
      </c>
      <c r="T27" s="236" t="s">
        <v>358</v>
      </c>
      <c r="U27" s="236"/>
      <c r="W27" s="184"/>
      <c r="X27" s="56"/>
      <c r="Y27" s="155">
        <f>IF(X27&lt;&gt;"",VLOOKUP(X27,'Tipo Projeto'!$A$3:$B$44,2,0),0)</f>
        <v>0</v>
      </c>
      <c r="Z27" s="44"/>
      <c r="AA27" s="57"/>
      <c r="AB27" s="170"/>
      <c r="AC27" s="174"/>
      <c r="AD27" s="165"/>
      <c r="AE27" s="171" t="str">
        <f t="shared" ref="AE27" si="34">IF(Z27="EE",IF(OR(AND(OR(AC27=1,AC27=0),AA27&gt;0,AA27&lt;5),AND(OR(AC27=1,AC27=0),AA27&gt;4,AA27&lt;16),AND(AC27=2,AA27&gt;0,AA27&lt;5)),"Simples",IF(OR(AND(OR(AC27=1,AC27=0),AA27&gt;15),AND(AC27=2,AA27&gt;4,AA27&lt;16),AND(AC27&gt;2,AA27&gt;0,AA27&lt;5)),"Médio",IF(OR(AND(AC27=2,AA27&gt;15),AND(AC27&gt;2,AA27&gt;4,AA27&lt;16),AND(AC27&gt;2,AA27&gt;15)),"Complexo",""))),
IF(OR(Z27="CE",Z27="SE"),IF(OR(AND(OR(AC27=1,AC27=0),AA27&gt;0,AA27&lt;6),AND(OR(AC27=1,AC27=0),AA27&gt;5,AA27&lt;20),AND(AC27&gt;1,AC27&lt;4,AA27&gt;0,AA27&lt;6)),"Simples",IF(OR(AND(OR(AC27=1,AC27=0),AA27&gt;19),AND(AC27&gt;1,AC27&lt;4,AA27&gt;5,AA27&lt;20),AND(AC27&gt;3,AA27&gt;0,AA27&lt;6)),"Médio",IF(OR(AND(AC27&gt;1,AC27&lt;4,AA27&gt;19),AND(AC27&gt;3,AA27&gt;5,AA27&lt;20),AND(AC27&gt;3,AA27&gt;19)),"Complexo",""))),""))</f>
        <v/>
      </c>
      <c r="AF27" s="45" t="str">
        <f t="shared" ref="AF27" si="35">IF(Z27="ALI",IF(OR(AND(OR(AC27=1,AC27=0),AA27&gt;0,AA27&lt;20),AND(OR(AC27=1,AC27=0),AA27&gt;19,AA27&lt;51),AND(AC27&gt;1,AC27&lt;6,AA27&gt;0,AA27&lt;20)),"Simples",IF(OR(AND(OR(AC27=1,AC27=0),AA27&gt;50),AND(AC27&gt;1,AC27&lt;6,AA27&gt;19,AA27&lt;51),AND(AC27&gt;5,AA27&gt;0,AA27&lt;20)),"Médio",IF(OR(AND(AC27&gt;1,AC27&lt;6,AA27&gt;50),AND(AC27&gt;5,AA27&gt;19,AA27&lt;51),AND(AC27&gt;5,AA27&gt;50)),"Complexo",""))),
IF(Z27="AIE",IF(OR(AND(OR(AC27=1, AC27=0),AA27&gt;0,AA27&lt;20),AND(OR(AC27=1, AC27=0),AA27&gt;19,AA27&lt;51),AND(AC27&gt;1,AC27&lt;6,AA27&gt;0,AA27&lt;20)),"Simples",IF(OR(AND(OR(AC27=1, AC27=0),AA27&gt;50),AND(AC27&gt;1,AC27&lt;6,AA27&gt;19,AA27&lt;51),AND(AC27&gt;5,AA27&gt;0,AA27&lt;20)),"Médio",IF(OR(AND(AC27&gt;1,AC27&lt;6,AA27&gt;50),AND(AC27&gt;5,AA27&gt;19,AA27&lt;51),AND(AC27&gt;5,AA27&gt;50)),"Complexo",""))),""))</f>
        <v/>
      </c>
      <c r="AG27" s="175" t="str">
        <f t="shared" ref="AG27" si="36">IF(AE27="",AF27,IF(AF27="",AE27,""))</f>
        <v/>
      </c>
      <c r="AH27" s="176">
        <f t="shared" ref="AH27" si="37">IF(AND(OR(Z27="EE",Z27="CE"),AG27="Simples"),3,
IF(AND(OR(Z27="EE",Z27="CE"),AG27="Médio"),4,
IF(AND(OR(Z27="EE",Z27="CE"),AG27="Complexo"),6,
IF(AND(Z27="SE",AG27="Simples"),4,
IF(AND(Z27="SE",AG27="Médio"),5,
IF(AND(Z27="SE",AG27="Complexo"),7,0))))))</f>
        <v>0</v>
      </c>
      <c r="AI27" s="176">
        <f t="shared" ref="AI27" si="38">IF(AND(Z27="ALI",AF27="Simples"),7,
IF(AND(Z27="ALI",AF27="Médio"),10,
IF(AND(Z27="ALI",AF27="Complexo"),15,
IF(AND(Z27="AIE",AF27="Simples"),5,
IF(AND(Z27="AIE",AF27="Médio"),7,
IF(AND(Z27="AIE",AF27="Complexo"),10,0))))))</f>
        <v>0</v>
      </c>
      <c r="AJ27" s="185">
        <f t="shared" ref="AJ27" si="39">IF(W27="OK",S27,(
IF(X27&lt;&gt;"Manutenção em interface",IF(X27&lt;&gt;"Desenv., Manutenção e Publicação de Páginas Estáticas",(AH27+AI27)*Y27,Y27),Y27)))</f>
        <v>0</v>
      </c>
      <c r="AK27" s="44"/>
      <c r="AM27" s="44"/>
      <c r="AO27" s="44"/>
      <c r="AP27" s="44" t="str">
        <f t="shared" ref="AP27" si="40">IF(AJ27=0,"",IF(AJ27=S27,"OK","Divergente"))</f>
        <v/>
      </c>
    </row>
    <row r="28" spans="2:42" s="46" customFormat="1" ht="18.75" customHeight="1">
      <c r="B28" s="226"/>
      <c r="C28" s="227">
        <f>IF(B28&lt;&gt;"",VLOOKUP(B28,'Tipo Projeto'!$A$3:$B$44,2,0),0)</f>
        <v>0</v>
      </c>
      <c r="D28" s="228"/>
      <c r="E28" s="236"/>
      <c r="F28" s="233"/>
      <c r="G28" s="228"/>
      <c r="H28" s="229"/>
      <c r="I28" s="230"/>
      <c r="J28" s="225"/>
      <c r="K28" s="231"/>
      <c r="L28" s="237"/>
      <c r="M28" s="232" t="str">
        <f t="shared" si="14"/>
        <v/>
      </c>
      <c r="N28" s="233" t="str">
        <f t="shared" si="15"/>
        <v/>
      </c>
      <c r="O28" s="234" t="str">
        <f t="shared" si="2"/>
        <v/>
      </c>
      <c r="P28" s="235">
        <f t="shared" si="16"/>
        <v>0</v>
      </c>
      <c r="Q28" s="235">
        <f t="shared" si="17"/>
        <v>0</v>
      </c>
      <c r="R28" s="234">
        <f t="shared" si="18"/>
        <v>0</v>
      </c>
      <c r="S28" s="234">
        <f t="shared" si="19"/>
        <v>0</v>
      </c>
      <c r="T28" s="236"/>
      <c r="U28" s="236"/>
      <c r="W28" s="184"/>
      <c r="X28" s="56"/>
      <c r="Y28" s="155">
        <f>IF(X28&lt;&gt;"",VLOOKUP(X28,'Tipo Projeto'!$A$3:$B$44,2,0),0)</f>
        <v>0</v>
      </c>
      <c r="Z28" s="44"/>
      <c r="AA28" s="57"/>
      <c r="AB28" s="170"/>
      <c r="AC28" s="174"/>
      <c r="AD28" s="165"/>
      <c r="AE28" s="171" t="str">
        <f t="shared" si="20"/>
        <v/>
      </c>
      <c r="AF28" s="45" t="str">
        <f t="shared" si="21"/>
        <v/>
      </c>
      <c r="AG28" s="175" t="str">
        <f t="shared" si="22"/>
        <v/>
      </c>
      <c r="AH28" s="176">
        <f t="shared" si="23"/>
        <v>0</v>
      </c>
      <c r="AI28" s="176">
        <f t="shared" si="24"/>
        <v>0</v>
      </c>
      <c r="AJ28" s="185">
        <f t="shared" si="25"/>
        <v>0</v>
      </c>
      <c r="AK28" s="44"/>
      <c r="AM28" s="44"/>
      <c r="AO28" s="44"/>
      <c r="AP28" s="44" t="str">
        <f t="shared" si="26"/>
        <v/>
      </c>
    </row>
    <row r="29" spans="2:42" s="46" customFormat="1" ht="18.75" customHeight="1">
      <c r="B29" s="226" t="s">
        <v>73</v>
      </c>
      <c r="C29" s="227">
        <f>IF(B29&lt;&gt;"",VLOOKUP(B29,'Tipo Projeto'!$A$3:$B$44,2,0),0)</f>
        <v>1</v>
      </c>
      <c r="D29" s="228" t="s">
        <v>354</v>
      </c>
      <c r="E29" s="236"/>
      <c r="F29" s="233" t="s">
        <v>258</v>
      </c>
      <c r="G29" s="228" t="s">
        <v>80</v>
      </c>
      <c r="H29" s="229"/>
      <c r="I29" s="230">
        <v>8</v>
      </c>
      <c r="J29" s="225" t="s">
        <v>273</v>
      </c>
      <c r="K29" s="231">
        <v>1</v>
      </c>
      <c r="L29" s="237" t="s">
        <v>287</v>
      </c>
      <c r="M29" s="232" t="str">
        <f t="shared" si="14"/>
        <v>Simples</v>
      </c>
      <c r="N29" s="233" t="str">
        <f t="shared" si="15"/>
        <v/>
      </c>
      <c r="O29" s="234" t="str">
        <f t="shared" si="2"/>
        <v>Simples</v>
      </c>
      <c r="P29" s="235">
        <f t="shared" si="16"/>
        <v>4</v>
      </c>
      <c r="Q29" s="235">
        <f t="shared" si="17"/>
        <v>0</v>
      </c>
      <c r="R29" s="234">
        <f t="shared" si="18"/>
        <v>4</v>
      </c>
      <c r="S29" s="234">
        <f t="shared" si="19"/>
        <v>4</v>
      </c>
      <c r="T29" s="236" t="s">
        <v>361</v>
      </c>
      <c r="U29" s="236"/>
      <c r="W29" s="184"/>
      <c r="X29" s="56"/>
      <c r="Y29" s="155">
        <f>IF(X29&lt;&gt;"",VLOOKUP(X29,'Tipo Projeto'!$A$3:$B$44,2,0),0)</f>
        <v>0</v>
      </c>
      <c r="Z29" s="44"/>
      <c r="AA29" s="57"/>
      <c r="AB29" s="170"/>
      <c r="AC29" s="174"/>
      <c r="AD29" s="165"/>
      <c r="AE29" s="171" t="str">
        <f t="shared" si="20"/>
        <v/>
      </c>
      <c r="AF29" s="45" t="str">
        <f t="shared" si="21"/>
        <v/>
      </c>
      <c r="AG29" s="175" t="str">
        <f t="shared" si="22"/>
        <v/>
      </c>
      <c r="AH29" s="176">
        <f t="shared" si="23"/>
        <v>0</v>
      </c>
      <c r="AI29" s="176">
        <f t="shared" si="24"/>
        <v>0</v>
      </c>
      <c r="AJ29" s="185">
        <f t="shared" si="25"/>
        <v>0</v>
      </c>
      <c r="AK29" s="44"/>
      <c r="AM29" s="44"/>
      <c r="AO29" s="44"/>
      <c r="AP29" s="44" t="str">
        <f t="shared" si="26"/>
        <v/>
      </c>
    </row>
    <row r="30" spans="2:42" s="46" customFormat="1" ht="18.75" customHeight="1">
      <c r="B30" s="226" t="s">
        <v>73</v>
      </c>
      <c r="C30" s="227">
        <f>IF(B30&lt;&gt;"",VLOOKUP(B30,'Tipo Projeto'!$A$3:$B$44,2,0),0)</f>
        <v>1</v>
      </c>
      <c r="D30" s="228" t="s">
        <v>354</v>
      </c>
      <c r="E30" s="236"/>
      <c r="F30" s="233" t="s">
        <v>259</v>
      </c>
      <c r="G30" s="228" t="s">
        <v>78</v>
      </c>
      <c r="H30" s="229"/>
      <c r="I30" s="230">
        <v>4</v>
      </c>
      <c r="J30" s="225" t="s">
        <v>250</v>
      </c>
      <c r="K30" s="231">
        <v>1</v>
      </c>
      <c r="L30" s="237" t="s">
        <v>274</v>
      </c>
      <c r="M30" s="232" t="str">
        <f t="shared" si="14"/>
        <v>Simples</v>
      </c>
      <c r="N30" s="233" t="str">
        <f t="shared" si="15"/>
        <v/>
      </c>
      <c r="O30" s="234" t="str">
        <f t="shared" si="2"/>
        <v>Simples</v>
      </c>
      <c r="P30" s="235">
        <f t="shared" si="16"/>
        <v>3</v>
      </c>
      <c r="Q30" s="235">
        <f t="shared" si="17"/>
        <v>0</v>
      </c>
      <c r="R30" s="234">
        <f t="shared" si="18"/>
        <v>3</v>
      </c>
      <c r="S30" s="234">
        <f t="shared" si="19"/>
        <v>3</v>
      </c>
      <c r="T30" s="236" t="s">
        <v>361</v>
      </c>
      <c r="U30" s="236"/>
      <c r="W30" s="184"/>
      <c r="X30" s="56"/>
      <c r="Y30" s="155">
        <f>IF(X30&lt;&gt;"",VLOOKUP(X30,'Tipo Projeto'!$A$3:$B$44,2,0),0)</f>
        <v>0</v>
      </c>
      <c r="Z30" s="44"/>
      <c r="AA30" s="57"/>
      <c r="AB30" s="170"/>
      <c r="AC30" s="174"/>
      <c r="AD30" s="165"/>
      <c r="AE30" s="171" t="str">
        <f t="shared" si="20"/>
        <v/>
      </c>
      <c r="AF30" s="45" t="str">
        <f t="shared" si="21"/>
        <v/>
      </c>
      <c r="AG30" s="175" t="str">
        <f t="shared" si="22"/>
        <v/>
      </c>
      <c r="AH30" s="176">
        <f t="shared" si="23"/>
        <v>0</v>
      </c>
      <c r="AI30" s="176">
        <f t="shared" si="24"/>
        <v>0</v>
      </c>
      <c r="AJ30" s="185">
        <f t="shared" si="25"/>
        <v>0</v>
      </c>
      <c r="AK30" s="44"/>
      <c r="AM30" s="44"/>
      <c r="AO30" s="44"/>
      <c r="AP30" s="44" t="str">
        <f t="shared" si="26"/>
        <v/>
      </c>
    </row>
    <row r="31" spans="2:42" s="46" customFormat="1" ht="18.75" customHeight="1">
      <c r="B31" s="226" t="s">
        <v>73</v>
      </c>
      <c r="C31" s="227">
        <f>IF(B31&lt;&gt;"",VLOOKUP(B31,'Tipo Projeto'!$A$3:$B$44,2,0),0)</f>
        <v>1</v>
      </c>
      <c r="D31" s="228" t="s">
        <v>354</v>
      </c>
      <c r="E31" s="236"/>
      <c r="F31" s="233" t="s">
        <v>260</v>
      </c>
      <c r="G31" s="228" t="s">
        <v>80</v>
      </c>
      <c r="H31" s="229"/>
      <c r="I31" s="230">
        <v>15</v>
      </c>
      <c r="J31" s="225" t="s">
        <v>275</v>
      </c>
      <c r="K31" s="231">
        <v>4</v>
      </c>
      <c r="L31" s="237" t="s">
        <v>445</v>
      </c>
      <c r="M31" s="232" t="str">
        <f t="shared" si="14"/>
        <v>Complexo</v>
      </c>
      <c r="N31" s="233" t="str">
        <f t="shared" si="15"/>
        <v/>
      </c>
      <c r="O31" s="234" t="str">
        <f t="shared" si="2"/>
        <v>Complexo</v>
      </c>
      <c r="P31" s="235">
        <f t="shared" si="16"/>
        <v>7</v>
      </c>
      <c r="Q31" s="235">
        <f t="shared" si="17"/>
        <v>0</v>
      </c>
      <c r="R31" s="234">
        <f t="shared" si="18"/>
        <v>7</v>
      </c>
      <c r="S31" s="234">
        <f t="shared" si="19"/>
        <v>7</v>
      </c>
      <c r="T31" s="236" t="s">
        <v>361</v>
      </c>
      <c r="U31" s="236"/>
      <c r="W31" s="184"/>
      <c r="X31" s="56"/>
      <c r="Y31" s="155">
        <f>IF(X31&lt;&gt;"",VLOOKUP(X31,'Tipo Projeto'!$A$3:$B$44,2,0),0)</f>
        <v>0</v>
      </c>
      <c r="Z31" s="44"/>
      <c r="AA31" s="57"/>
      <c r="AB31" s="170"/>
      <c r="AC31" s="174"/>
      <c r="AD31" s="165"/>
      <c r="AE31" s="171" t="str">
        <f t="shared" si="20"/>
        <v/>
      </c>
      <c r="AF31" s="45" t="str">
        <f t="shared" si="21"/>
        <v/>
      </c>
      <c r="AG31" s="175" t="str">
        <f t="shared" si="22"/>
        <v/>
      </c>
      <c r="AH31" s="176">
        <f t="shared" si="23"/>
        <v>0</v>
      </c>
      <c r="AI31" s="176">
        <f t="shared" si="24"/>
        <v>0</v>
      </c>
      <c r="AJ31" s="185">
        <f t="shared" si="25"/>
        <v>0</v>
      </c>
      <c r="AK31" s="44"/>
      <c r="AM31" s="44"/>
      <c r="AO31" s="44"/>
      <c r="AP31" s="44" t="str">
        <f t="shared" si="26"/>
        <v/>
      </c>
    </row>
    <row r="32" spans="2:42" s="46" customFormat="1" ht="18.75" customHeight="1">
      <c r="B32" s="226" t="s">
        <v>73</v>
      </c>
      <c r="C32" s="227">
        <f>IF(B32&lt;&gt;"",VLOOKUP(B32,'Tipo Projeto'!$A$3:$B$44,2,0),0)</f>
        <v>1</v>
      </c>
      <c r="D32" s="228" t="s">
        <v>354</v>
      </c>
      <c r="E32" s="236"/>
      <c r="F32" s="233" t="s">
        <v>261</v>
      </c>
      <c r="G32" s="228" t="s">
        <v>78</v>
      </c>
      <c r="H32" s="229"/>
      <c r="I32" s="230">
        <v>4</v>
      </c>
      <c r="J32" s="225" t="s">
        <v>250</v>
      </c>
      <c r="K32" s="231">
        <v>1</v>
      </c>
      <c r="L32" s="237" t="s">
        <v>274</v>
      </c>
      <c r="M32" s="232" t="str">
        <f t="shared" si="14"/>
        <v>Simples</v>
      </c>
      <c r="N32" s="233" t="str">
        <f t="shared" si="15"/>
        <v/>
      </c>
      <c r="O32" s="234" t="str">
        <f t="shared" si="2"/>
        <v>Simples</v>
      </c>
      <c r="P32" s="235">
        <f t="shared" si="16"/>
        <v>3</v>
      </c>
      <c r="Q32" s="235">
        <f t="shared" si="17"/>
        <v>0</v>
      </c>
      <c r="R32" s="234">
        <f t="shared" si="18"/>
        <v>3</v>
      </c>
      <c r="S32" s="234">
        <f t="shared" si="19"/>
        <v>3</v>
      </c>
      <c r="T32" s="236" t="s">
        <v>361</v>
      </c>
      <c r="U32" s="236"/>
      <c r="W32" s="184"/>
      <c r="X32" s="56"/>
      <c r="Y32" s="155">
        <f>IF(X32&lt;&gt;"",VLOOKUP(X32,'Tipo Projeto'!$A$3:$B$44,2,0),0)</f>
        <v>0</v>
      </c>
      <c r="Z32" s="44"/>
      <c r="AA32" s="57"/>
      <c r="AB32" s="170"/>
      <c r="AC32" s="174"/>
      <c r="AD32" s="165"/>
      <c r="AE32" s="171" t="str">
        <f t="shared" si="20"/>
        <v/>
      </c>
      <c r="AF32" s="45" t="str">
        <f t="shared" si="21"/>
        <v/>
      </c>
      <c r="AG32" s="175" t="str">
        <f t="shared" si="22"/>
        <v/>
      </c>
      <c r="AH32" s="176">
        <f t="shared" si="23"/>
        <v>0</v>
      </c>
      <c r="AI32" s="176">
        <f t="shared" si="24"/>
        <v>0</v>
      </c>
      <c r="AJ32" s="185">
        <f t="shared" si="25"/>
        <v>0</v>
      </c>
      <c r="AK32" s="44"/>
      <c r="AM32" s="44"/>
      <c r="AO32" s="44"/>
      <c r="AP32" s="44" t="str">
        <f t="shared" si="26"/>
        <v/>
      </c>
    </row>
    <row r="33" spans="2:42" s="46" customFormat="1" ht="18.75" customHeight="1">
      <c r="B33" s="226" t="s">
        <v>73</v>
      </c>
      <c r="C33" s="227">
        <f>IF(B33&lt;&gt;"",VLOOKUP(B33,'Tipo Projeto'!$A$3:$B$44,2,0),0)</f>
        <v>1</v>
      </c>
      <c r="D33" s="228" t="s">
        <v>354</v>
      </c>
      <c r="E33" s="236"/>
      <c r="F33" s="233" t="s">
        <v>262</v>
      </c>
      <c r="G33" s="228" t="s">
        <v>80</v>
      </c>
      <c r="H33" s="229"/>
      <c r="I33" s="230"/>
      <c r="J33" s="225"/>
      <c r="K33" s="231"/>
      <c r="L33" s="237"/>
      <c r="M33" s="232" t="str">
        <f t="shared" si="14"/>
        <v/>
      </c>
      <c r="N33" s="233" t="str">
        <f t="shared" si="15"/>
        <v/>
      </c>
      <c r="O33" s="234" t="str">
        <f t="shared" si="2"/>
        <v/>
      </c>
      <c r="P33" s="235">
        <f t="shared" si="16"/>
        <v>0</v>
      </c>
      <c r="Q33" s="235">
        <f t="shared" si="17"/>
        <v>0</v>
      </c>
      <c r="R33" s="234">
        <f t="shared" si="18"/>
        <v>0</v>
      </c>
      <c r="S33" s="234">
        <f t="shared" si="19"/>
        <v>0</v>
      </c>
      <c r="T33" s="236" t="s">
        <v>361</v>
      </c>
      <c r="U33" s="236" t="s">
        <v>360</v>
      </c>
      <c r="W33" s="184"/>
      <c r="X33" s="56"/>
      <c r="Y33" s="155">
        <f>IF(X33&lt;&gt;"",VLOOKUP(X33,'Tipo Projeto'!$A$3:$B$44,2,0),0)</f>
        <v>0</v>
      </c>
      <c r="Z33" s="44"/>
      <c r="AA33" s="57"/>
      <c r="AB33" s="170"/>
      <c r="AC33" s="174"/>
      <c r="AD33" s="165"/>
      <c r="AE33" s="171" t="str">
        <f t="shared" si="20"/>
        <v/>
      </c>
      <c r="AF33" s="45" t="str">
        <f t="shared" si="21"/>
        <v/>
      </c>
      <c r="AG33" s="175" t="str">
        <f t="shared" si="22"/>
        <v/>
      </c>
      <c r="AH33" s="176">
        <f t="shared" si="23"/>
        <v>0</v>
      </c>
      <c r="AI33" s="176">
        <f t="shared" si="24"/>
        <v>0</v>
      </c>
      <c r="AJ33" s="185">
        <f t="shared" si="25"/>
        <v>0</v>
      </c>
      <c r="AK33" s="44"/>
      <c r="AM33" s="44"/>
      <c r="AO33" s="44"/>
      <c r="AP33" s="44" t="str">
        <f t="shared" si="26"/>
        <v/>
      </c>
    </row>
    <row r="34" spans="2:42" s="46" customFormat="1" ht="18.75" customHeight="1">
      <c r="B34" s="226" t="s">
        <v>73</v>
      </c>
      <c r="C34" s="227">
        <f>IF(B34&lt;&gt;"",VLOOKUP(B34,'Tipo Projeto'!$A$3:$B$44,2,0),0)</f>
        <v>1</v>
      </c>
      <c r="D34" s="228" t="s">
        <v>354</v>
      </c>
      <c r="E34" s="236"/>
      <c r="F34" s="233" t="s">
        <v>263</v>
      </c>
      <c r="G34" s="228" t="s">
        <v>78</v>
      </c>
      <c r="H34" s="229"/>
      <c r="I34" s="230">
        <v>3</v>
      </c>
      <c r="J34" s="225" t="s">
        <v>272</v>
      </c>
      <c r="K34" s="231">
        <v>1</v>
      </c>
      <c r="L34" s="237" t="s">
        <v>274</v>
      </c>
      <c r="M34" s="232" t="str">
        <f t="shared" si="14"/>
        <v>Simples</v>
      </c>
      <c r="N34" s="233" t="str">
        <f t="shared" si="15"/>
        <v/>
      </c>
      <c r="O34" s="234" t="str">
        <f t="shared" si="2"/>
        <v>Simples</v>
      </c>
      <c r="P34" s="235">
        <f t="shared" si="16"/>
        <v>3</v>
      </c>
      <c r="Q34" s="235">
        <f t="shared" si="17"/>
        <v>0</v>
      </c>
      <c r="R34" s="234">
        <f t="shared" si="18"/>
        <v>3</v>
      </c>
      <c r="S34" s="234">
        <f t="shared" si="19"/>
        <v>3</v>
      </c>
      <c r="T34" s="236" t="s">
        <v>361</v>
      </c>
      <c r="U34" s="236"/>
      <c r="W34" s="184"/>
      <c r="X34" s="56"/>
      <c r="Y34" s="155">
        <f>IF(X34&lt;&gt;"",VLOOKUP(X34,'Tipo Projeto'!$A$3:$B$44,2,0),0)</f>
        <v>0</v>
      </c>
      <c r="Z34" s="44"/>
      <c r="AA34" s="57"/>
      <c r="AB34" s="170"/>
      <c r="AC34" s="174"/>
      <c r="AD34" s="165"/>
      <c r="AE34" s="171" t="str">
        <f t="shared" si="20"/>
        <v/>
      </c>
      <c r="AF34" s="45" t="str">
        <f t="shared" si="21"/>
        <v/>
      </c>
      <c r="AG34" s="175" t="str">
        <f t="shared" si="22"/>
        <v/>
      </c>
      <c r="AH34" s="176">
        <f t="shared" si="23"/>
        <v>0</v>
      </c>
      <c r="AI34" s="176">
        <f t="shared" si="24"/>
        <v>0</v>
      </c>
      <c r="AJ34" s="185">
        <f t="shared" si="25"/>
        <v>0</v>
      </c>
      <c r="AK34" s="44"/>
      <c r="AM34" s="44"/>
      <c r="AO34" s="44"/>
      <c r="AP34" s="44" t="str">
        <f t="shared" si="26"/>
        <v/>
      </c>
    </row>
    <row r="35" spans="2:42" s="46" customFormat="1" ht="18.75" customHeight="1">
      <c r="B35" s="226"/>
      <c r="C35" s="227">
        <f>IF(B35&lt;&gt;"",VLOOKUP(B35,'Tipo Projeto'!$A$3:$B$44,2,0),0)</f>
        <v>0</v>
      </c>
      <c r="D35" s="228"/>
      <c r="E35" s="236"/>
      <c r="F35" s="233"/>
      <c r="G35" s="228"/>
      <c r="H35" s="229"/>
      <c r="I35" s="230"/>
      <c r="J35" s="225"/>
      <c r="K35" s="231"/>
      <c r="L35" s="237"/>
      <c r="M35" s="232" t="str">
        <f t="shared" si="14"/>
        <v/>
      </c>
      <c r="N35" s="233" t="str">
        <f t="shared" si="15"/>
        <v/>
      </c>
      <c r="O35" s="234" t="str">
        <f t="shared" si="2"/>
        <v/>
      </c>
      <c r="P35" s="235">
        <f t="shared" si="16"/>
        <v>0</v>
      </c>
      <c r="Q35" s="235">
        <f t="shared" si="17"/>
        <v>0</v>
      </c>
      <c r="R35" s="234">
        <f t="shared" si="18"/>
        <v>0</v>
      </c>
      <c r="S35" s="234">
        <f t="shared" si="19"/>
        <v>0</v>
      </c>
      <c r="T35" s="236"/>
      <c r="U35" s="236"/>
      <c r="W35" s="184"/>
      <c r="X35" s="56"/>
      <c r="Y35" s="155">
        <f>IF(X35&lt;&gt;"",VLOOKUP(X35,'Tipo Projeto'!$A$3:$B$44,2,0),0)</f>
        <v>0</v>
      </c>
      <c r="Z35" s="44"/>
      <c r="AA35" s="57"/>
      <c r="AB35" s="170"/>
      <c r="AC35" s="174"/>
      <c r="AD35" s="165"/>
      <c r="AE35" s="171" t="str">
        <f t="shared" si="20"/>
        <v/>
      </c>
      <c r="AF35" s="45" t="str">
        <f t="shared" si="21"/>
        <v/>
      </c>
      <c r="AG35" s="175" t="str">
        <f t="shared" si="22"/>
        <v/>
      </c>
      <c r="AH35" s="176">
        <f t="shared" si="23"/>
        <v>0</v>
      </c>
      <c r="AI35" s="176">
        <f t="shared" si="24"/>
        <v>0</v>
      </c>
      <c r="AJ35" s="185">
        <f t="shared" si="25"/>
        <v>0</v>
      </c>
      <c r="AK35" s="44"/>
      <c r="AM35" s="44"/>
      <c r="AO35" s="44"/>
      <c r="AP35" s="44" t="str">
        <f t="shared" si="26"/>
        <v/>
      </c>
    </row>
    <row r="36" spans="2:42" s="46" customFormat="1" ht="18.75" customHeight="1">
      <c r="B36" s="226" t="s">
        <v>73</v>
      </c>
      <c r="C36" s="227">
        <f>IF(B36&lt;&gt;"",VLOOKUP(B36,'Tipo Projeto'!$A$3:$B$44,2,0),0)</f>
        <v>1</v>
      </c>
      <c r="D36" s="228" t="s">
        <v>288</v>
      </c>
      <c r="E36" s="236"/>
      <c r="F36" s="233" t="s">
        <v>276</v>
      </c>
      <c r="G36" s="228" t="s">
        <v>79</v>
      </c>
      <c r="H36" s="229"/>
      <c r="I36" s="230">
        <v>4</v>
      </c>
      <c r="J36" s="225" t="s">
        <v>277</v>
      </c>
      <c r="K36" s="231">
        <v>1</v>
      </c>
      <c r="L36" s="237" t="s">
        <v>288</v>
      </c>
      <c r="M36" s="232" t="str">
        <f t="shared" si="14"/>
        <v>Simples</v>
      </c>
      <c r="N36" s="233" t="str">
        <f t="shared" si="15"/>
        <v/>
      </c>
      <c r="O36" s="234" t="str">
        <f t="shared" ref="O36:O191" si="41">IF(M36="",N36,IF(N36="",M36,""))</f>
        <v>Simples</v>
      </c>
      <c r="P36" s="235">
        <f t="shared" si="16"/>
        <v>3</v>
      </c>
      <c r="Q36" s="235">
        <f t="shared" si="17"/>
        <v>0</v>
      </c>
      <c r="R36" s="234">
        <f t="shared" si="18"/>
        <v>3</v>
      </c>
      <c r="S36" s="234">
        <f t="shared" si="19"/>
        <v>3</v>
      </c>
      <c r="T36" s="236" t="s">
        <v>363</v>
      </c>
      <c r="U36" s="236"/>
      <c r="W36" s="184"/>
      <c r="X36" s="56"/>
      <c r="Y36" s="155">
        <f>IF(X36&lt;&gt;"",VLOOKUP(X36,'Tipo Projeto'!$A$3:$B$44,2,0),0)</f>
        <v>0</v>
      </c>
      <c r="Z36" s="44"/>
      <c r="AA36" s="57"/>
      <c r="AB36" s="170"/>
      <c r="AC36" s="174"/>
      <c r="AD36" s="165"/>
      <c r="AE36" s="171" t="str">
        <f t="shared" si="20"/>
        <v/>
      </c>
      <c r="AF36" s="45" t="str">
        <f t="shared" si="21"/>
        <v/>
      </c>
      <c r="AG36" s="175" t="str">
        <f t="shared" si="22"/>
        <v/>
      </c>
      <c r="AH36" s="176">
        <f t="shared" si="23"/>
        <v>0</v>
      </c>
      <c r="AI36" s="176">
        <f t="shared" si="24"/>
        <v>0</v>
      </c>
      <c r="AJ36" s="185">
        <f t="shared" si="25"/>
        <v>0</v>
      </c>
      <c r="AK36" s="44"/>
      <c r="AM36" s="44"/>
      <c r="AO36" s="44"/>
      <c r="AP36" s="44" t="str">
        <f t="shared" si="26"/>
        <v/>
      </c>
    </row>
    <row r="37" spans="2:42" s="46" customFormat="1" ht="18.75" customHeight="1">
      <c r="B37" s="226" t="s">
        <v>73</v>
      </c>
      <c r="C37" s="227">
        <f>IF(B37&lt;&gt;"",VLOOKUP(B37,'Tipo Projeto'!$A$3:$B$44,2,0),0)</f>
        <v>1</v>
      </c>
      <c r="D37" s="228" t="s">
        <v>288</v>
      </c>
      <c r="E37" s="236"/>
      <c r="F37" s="233" t="s">
        <v>278</v>
      </c>
      <c r="G37" s="228" t="s">
        <v>78</v>
      </c>
      <c r="H37" s="229"/>
      <c r="I37" s="230">
        <v>7</v>
      </c>
      <c r="J37" s="225" t="s">
        <v>282</v>
      </c>
      <c r="K37" s="231">
        <v>1</v>
      </c>
      <c r="L37" s="237" t="s">
        <v>288</v>
      </c>
      <c r="M37" s="232" t="str">
        <f t="shared" si="14"/>
        <v>Simples</v>
      </c>
      <c r="N37" s="233" t="str">
        <f t="shared" si="15"/>
        <v/>
      </c>
      <c r="O37" s="234" t="str">
        <f t="shared" si="41"/>
        <v>Simples</v>
      </c>
      <c r="P37" s="235">
        <f t="shared" si="16"/>
        <v>3</v>
      </c>
      <c r="Q37" s="235">
        <f t="shared" si="17"/>
        <v>0</v>
      </c>
      <c r="R37" s="234">
        <f t="shared" si="18"/>
        <v>3</v>
      </c>
      <c r="S37" s="234">
        <f t="shared" si="19"/>
        <v>3</v>
      </c>
      <c r="T37" s="236" t="s">
        <v>363</v>
      </c>
      <c r="U37" s="236"/>
      <c r="W37" s="184"/>
      <c r="X37" s="56"/>
      <c r="Y37" s="155">
        <f>IF(X37&lt;&gt;"",VLOOKUP(X37,'Tipo Projeto'!$A$3:$B$44,2,0),0)</f>
        <v>0</v>
      </c>
      <c r="Z37" s="44"/>
      <c r="AA37" s="57"/>
      <c r="AB37" s="170"/>
      <c r="AC37" s="174"/>
      <c r="AD37" s="165"/>
      <c r="AE37" s="171" t="str">
        <f t="shared" si="20"/>
        <v/>
      </c>
      <c r="AF37" s="45" t="str">
        <f t="shared" si="21"/>
        <v/>
      </c>
      <c r="AG37" s="175" t="str">
        <f t="shared" si="22"/>
        <v/>
      </c>
      <c r="AH37" s="176">
        <f t="shared" si="23"/>
        <v>0</v>
      </c>
      <c r="AI37" s="176">
        <f t="shared" si="24"/>
        <v>0</v>
      </c>
      <c r="AJ37" s="185">
        <f t="shared" si="25"/>
        <v>0</v>
      </c>
      <c r="AK37" s="44"/>
      <c r="AM37" s="44"/>
      <c r="AO37" s="44"/>
      <c r="AP37" s="44" t="str">
        <f t="shared" si="26"/>
        <v/>
      </c>
    </row>
    <row r="38" spans="2:42" s="46" customFormat="1" ht="18.75" customHeight="1">
      <c r="B38" s="226" t="s">
        <v>73</v>
      </c>
      <c r="C38" s="227">
        <f>IF(B38&lt;&gt;"",VLOOKUP(B38,'Tipo Projeto'!$A$3:$B$44,2,0),0)</f>
        <v>1</v>
      </c>
      <c r="D38" s="228" t="s">
        <v>288</v>
      </c>
      <c r="E38" s="236"/>
      <c r="F38" s="233" t="s">
        <v>279</v>
      </c>
      <c r="G38" s="228" t="s">
        <v>79</v>
      </c>
      <c r="H38" s="229"/>
      <c r="I38" s="230">
        <v>6</v>
      </c>
      <c r="J38" s="225" t="s">
        <v>283</v>
      </c>
      <c r="K38" s="231">
        <v>1</v>
      </c>
      <c r="L38" s="237" t="s">
        <v>288</v>
      </c>
      <c r="M38" s="232" t="str">
        <f t="shared" si="14"/>
        <v>Simples</v>
      </c>
      <c r="N38" s="233" t="str">
        <f t="shared" si="15"/>
        <v/>
      </c>
      <c r="O38" s="234" t="str">
        <f t="shared" si="41"/>
        <v>Simples</v>
      </c>
      <c r="P38" s="235">
        <f t="shared" si="16"/>
        <v>3</v>
      </c>
      <c r="Q38" s="235">
        <f t="shared" si="17"/>
        <v>0</v>
      </c>
      <c r="R38" s="234">
        <f t="shared" si="18"/>
        <v>3</v>
      </c>
      <c r="S38" s="234">
        <f t="shared" si="19"/>
        <v>3</v>
      </c>
      <c r="T38" s="236" t="s">
        <v>363</v>
      </c>
      <c r="U38" s="236"/>
      <c r="W38" s="184"/>
      <c r="X38" s="56"/>
      <c r="Y38" s="155">
        <f>IF(X38&lt;&gt;"",VLOOKUP(X38,'Tipo Projeto'!$A$3:$B$44,2,0),0)</f>
        <v>0</v>
      </c>
      <c r="Z38" s="44"/>
      <c r="AA38" s="57"/>
      <c r="AB38" s="170"/>
      <c r="AC38" s="174"/>
      <c r="AD38" s="165"/>
      <c r="AE38" s="171" t="str">
        <f t="shared" si="20"/>
        <v/>
      </c>
      <c r="AF38" s="45" t="str">
        <f t="shared" si="21"/>
        <v/>
      </c>
      <c r="AG38" s="175" t="str">
        <f t="shared" si="22"/>
        <v/>
      </c>
      <c r="AH38" s="176">
        <f t="shared" si="23"/>
        <v>0</v>
      </c>
      <c r="AI38" s="176">
        <f t="shared" si="24"/>
        <v>0</v>
      </c>
      <c r="AJ38" s="185">
        <f t="shared" si="25"/>
        <v>0</v>
      </c>
      <c r="AK38" s="44"/>
      <c r="AM38" s="44"/>
      <c r="AO38" s="44"/>
      <c r="AP38" s="44" t="str">
        <f t="shared" si="26"/>
        <v/>
      </c>
    </row>
    <row r="39" spans="2:42" s="46" customFormat="1" ht="18.75" customHeight="1">
      <c r="B39" s="226" t="s">
        <v>73</v>
      </c>
      <c r="C39" s="227">
        <f>IF(B39&lt;&gt;"",VLOOKUP(B39,'Tipo Projeto'!$A$3:$B$44,2,0),0)</f>
        <v>1</v>
      </c>
      <c r="D39" s="228" t="s">
        <v>288</v>
      </c>
      <c r="E39" s="236"/>
      <c r="F39" s="233" t="s">
        <v>280</v>
      </c>
      <c r="G39" s="228" t="s">
        <v>78</v>
      </c>
      <c r="H39" s="229"/>
      <c r="I39" s="230">
        <v>7</v>
      </c>
      <c r="J39" s="225" t="s">
        <v>282</v>
      </c>
      <c r="K39" s="231">
        <v>1</v>
      </c>
      <c r="L39" s="237" t="s">
        <v>288</v>
      </c>
      <c r="M39" s="232" t="str">
        <f t="shared" si="14"/>
        <v>Simples</v>
      </c>
      <c r="N39" s="233" t="str">
        <f t="shared" si="15"/>
        <v/>
      </c>
      <c r="O39" s="234" t="str">
        <f t="shared" si="41"/>
        <v>Simples</v>
      </c>
      <c r="P39" s="235">
        <f t="shared" si="16"/>
        <v>3</v>
      </c>
      <c r="Q39" s="235">
        <f t="shared" si="17"/>
        <v>0</v>
      </c>
      <c r="R39" s="234">
        <f t="shared" si="18"/>
        <v>3</v>
      </c>
      <c r="S39" s="234">
        <f t="shared" si="19"/>
        <v>3</v>
      </c>
      <c r="T39" s="236" t="s">
        <v>363</v>
      </c>
      <c r="U39" s="236"/>
      <c r="W39" s="184"/>
      <c r="X39" s="56"/>
      <c r="Y39" s="155">
        <f>IF(X39&lt;&gt;"",VLOOKUP(X39,'Tipo Projeto'!$A$3:$B$44,2,0),0)</f>
        <v>0</v>
      </c>
      <c r="Z39" s="44"/>
      <c r="AA39" s="57"/>
      <c r="AB39" s="170"/>
      <c r="AC39" s="174"/>
      <c r="AD39" s="165"/>
      <c r="AE39" s="171" t="str">
        <f t="shared" si="20"/>
        <v/>
      </c>
      <c r="AF39" s="45" t="str">
        <f t="shared" si="21"/>
        <v/>
      </c>
      <c r="AG39" s="175" t="str">
        <f t="shared" si="22"/>
        <v/>
      </c>
      <c r="AH39" s="176">
        <f t="shared" si="23"/>
        <v>0</v>
      </c>
      <c r="AI39" s="176">
        <f t="shared" si="24"/>
        <v>0</v>
      </c>
      <c r="AJ39" s="185">
        <f t="shared" si="25"/>
        <v>0</v>
      </c>
      <c r="AK39" s="44"/>
      <c r="AM39" s="44"/>
      <c r="AO39" s="44"/>
      <c r="AP39" s="44" t="str">
        <f t="shared" si="26"/>
        <v/>
      </c>
    </row>
    <row r="40" spans="2:42" s="46" customFormat="1" ht="18.75" customHeight="1">
      <c r="B40" s="226" t="s">
        <v>73</v>
      </c>
      <c r="C40" s="227">
        <f>IF(B40&lt;&gt;"",VLOOKUP(B40,'Tipo Projeto'!$A$3:$B$44,2,0),0)</f>
        <v>1</v>
      </c>
      <c r="D40" s="228" t="s">
        <v>288</v>
      </c>
      <c r="E40" s="236"/>
      <c r="F40" s="233" t="s">
        <v>281</v>
      </c>
      <c r="G40" s="228" t="s">
        <v>78</v>
      </c>
      <c r="H40" s="229"/>
      <c r="I40" s="230">
        <v>3</v>
      </c>
      <c r="J40" s="225" t="s">
        <v>272</v>
      </c>
      <c r="K40" s="231">
        <v>1</v>
      </c>
      <c r="L40" s="237" t="s">
        <v>288</v>
      </c>
      <c r="M40" s="232" t="str">
        <f t="shared" si="14"/>
        <v>Simples</v>
      </c>
      <c r="N40" s="233" t="str">
        <f t="shared" si="15"/>
        <v/>
      </c>
      <c r="O40" s="234" t="str">
        <f t="shared" si="41"/>
        <v>Simples</v>
      </c>
      <c r="P40" s="235">
        <f t="shared" si="16"/>
        <v>3</v>
      </c>
      <c r="Q40" s="235">
        <f t="shared" si="17"/>
        <v>0</v>
      </c>
      <c r="R40" s="234">
        <f t="shared" si="18"/>
        <v>3</v>
      </c>
      <c r="S40" s="234">
        <f t="shared" si="19"/>
        <v>3</v>
      </c>
      <c r="T40" s="236" t="s">
        <v>363</v>
      </c>
      <c r="U40" s="236"/>
      <c r="W40" s="184"/>
      <c r="X40" s="56"/>
      <c r="Y40" s="155">
        <f>IF(X40&lt;&gt;"",VLOOKUP(X40,'Tipo Projeto'!$A$3:$B$44,2,0),0)</f>
        <v>0</v>
      </c>
      <c r="Z40" s="44"/>
      <c r="AA40" s="57"/>
      <c r="AB40" s="170"/>
      <c r="AC40" s="174"/>
      <c r="AD40" s="165"/>
      <c r="AE40" s="171" t="str">
        <f t="shared" si="20"/>
        <v/>
      </c>
      <c r="AF40" s="45" t="str">
        <f t="shared" si="21"/>
        <v/>
      </c>
      <c r="AG40" s="175" t="str">
        <f t="shared" si="22"/>
        <v/>
      </c>
      <c r="AH40" s="176">
        <f t="shared" si="23"/>
        <v>0</v>
      </c>
      <c r="AI40" s="176">
        <f t="shared" si="24"/>
        <v>0</v>
      </c>
      <c r="AJ40" s="185">
        <f t="shared" si="25"/>
        <v>0</v>
      </c>
      <c r="AK40" s="44"/>
      <c r="AM40" s="44"/>
      <c r="AO40" s="44"/>
      <c r="AP40" s="44" t="str">
        <f t="shared" si="26"/>
        <v/>
      </c>
    </row>
    <row r="41" spans="2:42" s="46" customFormat="1" ht="18.75" customHeight="1">
      <c r="B41" s="226" t="s">
        <v>73</v>
      </c>
      <c r="C41" s="227">
        <f>IF(B41&lt;&gt;"",VLOOKUP(B41,'Tipo Projeto'!$A$3:$B$44,2,0),0)</f>
        <v>1</v>
      </c>
      <c r="D41" s="228" t="s">
        <v>288</v>
      </c>
      <c r="E41" s="236"/>
      <c r="F41" s="233" t="s">
        <v>284</v>
      </c>
      <c r="G41" s="228" t="s">
        <v>78</v>
      </c>
      <c r="H41" s="229"/>
      <c r="I41" s="230">
        <v>3</v>
      </c>
      <c r="J41" s="225" t="s">
        <v>272</v>
      </c>
      <c r="K41" s="231">
        <v>1</v>
      </c>
      <c r="L41" s="237" t="s">
        <v>288</v>
      </c>
      <c r="M41" s="232" t="str">
        <f t="shared" si="14"/>
        <v>Simples</v>
      </c>
      <c r="N41" s="233" t="str">
        <f t="shared" si="15"/>
        <v/>
      </c>
      <c r="O41" s="234" t="str">
        <f t="shared" si="41"/>
        <v>Simples</v>
      </c>
      <c r="P41" s="235">
        <f t="shared" si="16"/>
        <v>3</v>
      </c>
      <c r="Q41" s="235">
        <f t="shared" si="17"/>
        <v>0</v>
      </c>
      <c r="R41" s="234">
        <f t="shared" si="18"/>
        <v>3</v>
      </c>
      <c r="S41" s="234">
        <f t="shared" si="19"/>
        <v>3</v>
      </c>
      <c r="T41" s="236" t="s">
        <v>363</v>
      </c>
      <c r="U41" s="236"/>
      <c r="W41" s="184"/>
      <c r="X41" s="56"/>
      <c r="Y41" s="155">
        <f>IF(X41&lt;&gt;"",VLOOKUP(X41,'Tipo Projeto'!$A$3:$B$44,2,0),0)</f>
        <v>0</v>
      </c>
      <c r="Z41" s="44"/>
      <c r="AA41" s="57"/>
      <c r="AB41" s="170"/>
      <c r="AC41" s="174"/>
      <c r="AD41" s="165"/>
      <c r="AE41" s="171" t="str">
        <f t="shared" si="20"/>
        <v/>
      </c>
      <c r="AF41" s="45" t="str">
        <f t="shared" si="21"/>
        <v/>
      </c>
      <c r="AG41" s="175" t="str">
        <f t="shared" si="22"/>
        <v/>
      </c>
      <c r="AH41" s="176">
        <f t="shared" si="23"/>
        <v>0</v>
      </c>
      <c r="AI41" s="176">
        <f t="shared" si="24"/>
        <v>0</v>
      </c>
      <c r="AJ41" s="185">
        <f t="shared" si="25"/>
        <v>0</v>
      </c>
      <c r="AK41" s="44"/>
      <c r="AM41" s="44"/>
      <c r="AO41" s="44"/>
      <c r="AP41" s="44" t="str">
        <f t="shared" si="26"/>
        <v/>
      </c>
    </row>
    <row r="42" spans="2:42" s="46" customFormat="1" ht="18.75" customHeight="1">
      <c r="B42" s="226"/>
      <c r="C42" s="227">
        <f>IF(B42&lt;&gt;"",VLOOKUP(B42,'Tipo Projeto'!$A$3:$B$44,2,0),0)</f>
        <v>0</v>
      </c>
      <c r="D42" s="228"/>
      <c r="E42" s="236"/>
      <c r="F42" s="233"/>
      <c r="G42" s="228"/>
      <c r="H42" s="229"/>
      <c r="I42" s="230"/>
      <c r="J42" s="225"/>
      <c r="K42" s="231"/>
      <c r="L42" s="237"/>
      <c r="M42" s="232" t="str">
        <f t="shared" si="14"/>
        <v/>
      </c>
      <c r="N42" s="233" t="str">
        <f t="shared" si="15"/>
        <v/>
      </c>
      <c r="O42" s="234" t="str">
        <f t="shared" si="41"/>
        <v/>
      </c>
      <c r="P42" s="235">
        <f t="shared" si="16"/>
        <v>0</v>
      </c>
      <c r="Q42" s="235">
        <f t="shared" si="17"/>
        <v>0</v>
      </c>
      <c r="R42" s="234">
        <f t="shared" si="18"/>
        <v>0</v>
      </c>
      <c r="S42" s="234">
        <f t="shared" si="19"/>
        <v>0</v>
      </c>
      <c r="T42" s="236"/>
      <c r="U42" s="236"/>
      <c r="W42" s="184"/>
      <c r="X42" s="56"/>
      <c r="Y42" s="155">
        <f>IF(X42&lt;&gt;"",VLOOKUP(X42,'Tipo Projeto'!$A$3:$B$44,2,0),0)</f>
        <v>0</v>
      </c>
      <c r="Z42" s="44"/>
      <c r="AA42" s="57"/>
      <c r="AB42" s="170"/>
      <c r="AC42" s="174"/>
      <c r="AD42" s="165"/>
      <c r="AE42" s="171" t="str">
        <f t="shared" si="20"/>
        <v/>
      </c>
      <c r="AF42" s="45" t="str">
        <f t="shared" si="21"/>
        <v/>
      </c>
      <c r="AG42" s="175" t="str">
        <f t="shared" si="22"/>
        <v/>
      </c>
      <c r="AH42" s="176">
        <f t="shared" si="23"/>
        <v>0</v>
      </c>
      <c r="AI42" s="176">
        <f t="shared" si="24"/>
        <v>0</v>
      </c>
      <c r="AJ42" s="185">
        <f t="shared" si="25"/>
        <v>0</v>
      </c>
      <c r="AK42" s="44"/>
      <c r="AM42" s="44"/>
      <c r="AO42" s="44"/>
      <c r="AP42" s="44" t="str">
        <f t="shared" si="26"/>
        <v/>
      </c>
    </row>
    <row r="43" spans="2:42" s="46" customFormat="1" ht="18.75" customHeight="1">
      <c r="B43" s="226" t="s">
        <v>73</v>
      </c>
      <c r="C43" s="227">
        <f>IF(B43&lt;&gt;"",VLOOKUP(B43,'Tipo Projeto'!$A$3:$B$44,2,0),0)</f>
        <v>1</v>
      </c>
      <c r="D43" s="228" t="s">
        <v>355</v>
      </c>
      <c r="E43" s="236"/>
      <c r="F43" s="233" t="s">
        <v>241</v>
      </c>
      <c r="G43" s="228" t="s">
        <v>80</v>
      </c>
      <c r="H43" s="229"/>
      <c r="I43" s="230">
        <v>7</v>
      </c>
      <c r="J43" s="225" t="s">
        <v>242</v>
      </c>
      <c r="K43" s="231">
        <v>1</v>
      </c>
      <c r="L43" s="237" t="s">
        <v>315</v>
      </c>
      <c r="M43" s="232" t="str">
        <f t="shared" si="14"/>
        <v>Simples</v>
      </c>
      <c r="N43" s="233" t="str">
        <f t="shared" si="15"/>
        <v/>
      </c>
      <c r="O43" s="234" t="str">
        <f t="shared" si="41"/>
        <v>Simples</v>
      </c>
      <c r="P43" s="235">
        <f t="shared" si="16"/>
        <v>4</v>
      </c>
      <c r="Q43" s="235">
        <f t="shared" si="17"/>
        <v>0</v>
      </c>
      <c r="R43" s="234">
        <f t="shared" si="18"/>
        <v>4</v>
      </c>
      <c r="S43" s="234">
        <f t="shared" si="19"/>
        <v>4</v>
      </c>
      <c r="T43" s="236" t="s">
        <v>362</v>
      </c>
      <c r="U43" s="236"/>
      <c r="W43" s="184"/>
      <c r="X43" s="56"/>
      <c r="Y43" s="155">
        <f>IF(X43&lt;&gt;"",VLOOKUP(X43,'Tipo Projeto'!$A$3:$B$44,2,0),0)</f>
        <v>0</v>
      </c>
      <c r="Z43" s="44"/>
      <c r="AA43" s="57"/>
      <c r="AB43" s="170"/>
      <c r="AC43" s="174"/>
      <c r="AD43" s="165"/>
      <c r="AE43" s="171" t="str">
        <f t="shared" si="20"/>
        <v/>
      </c>
      <c r="AF43" s="45" t="str">
        <f t="shared" si="21"/>
        <v/>
      </c>
      <c r="AG43" s="175" t="str">
        <f t="shared" si="22"/>
        <v/>
      </c>
      <c r="AH43" s="176">
        <f t="shared" si="23"/>
        <v>0</v>
      </c>
      <c r="AI43" s="176">
        <f t="shared" si="24"/>
        <v>0</v>
      </c>
      <c r="AJ43" s="185">
        <f t="shared" si="25"/>
        <v>0</v>
      </c>
      <c r="AK43" s="44"/>
      <c r="AM43" s="44"/>
      <c r="AO43" s="44"/>
      <c r="AP43" s="44" t="str">
        <f t="shared" si="26"/>
        <v/>
      </c>
    </row>
    <row r="44" spans="2:42" s="46" customFormat="1" ht="18.75" customHeight="1">
      <c r="B44" s="226" t="s">
        <v>73</v>
      </c>
      <c r="C44" s="227">
        <f>IF(B44&lt;&gt;"",VLOOKUP(B44,'Tipo Projeto'!$A$3:$B$44,2,0),0)</f>
        <v>1</v>
      </c>
      <c r="D44" s="228" t="s">
        <v>355</v>
      </c>
      <c r="E44" s="236"/>
      <c r="F44" s="233" t="s">
        <v>243</v>
      </c>
      <c r="G44" s="228" t="s">
        <v>78</v>
      </c>
      <c r="H44" s="229"/>
      <c r="I44" s="230">
        <v>6</v>
      </c>
      <c r="J44" s="225" t="s">
        <v>244</v>
      </c>
      <c r="K44" s="231">
        <v>1</v>
      </c>
      <c r="L44" s="237" t="s">
        <v>315</v>
      </c>
      <c r="M44" s="232" t="str">
        <f t="shared" si="14"/>
        <v>Simples</v>
      </c>
      <c r="N44" s="233" t="str">
        <f t="shared" si="15"/>
        <v/>
      </c>
      <c r="O44" s="234" t="str">
        <f t="shared" si="41"/>
        <v>Simples</v>
      </c>
      <c r="P44" s="235">
        <f t="shared" si="16"/>
        <v>3</v>
      </c>
      <c r="Q44" s="235">
        <f t="shared" si="17"/>
        <v>0</v>
      </c>
      <c r="R44" s="234">
        <f t="shared" si="18"/>
        <v>3</v>
      </c>
      <c r="S44" s="234">
        <f t="shared" si="19"/>
        <v>3</v>
      </c>
      <c r="T44" s="236" t="s">
        <v>362</v>
      </c>
      <c r="U44" s="236"/>
      <c r="W44" s="184"/>
      <c r="X44" s="56"/>
      <c r="Y44" s="155">
        <f>IF(X44&lt;&gt;"",VLOOKUP(X44,'Tipo Projeto'!$A$3:$B$44,2,0),0)</f>
        <v>0</v>
      </c>
      <c r="Z44" s="44"/>
      <c r="AA44" s="57"/>
      <c r="AB44" s="170"/>
      <c r="AC44" s="174"/>
      <c r="AD44" s="165"/>
      <c r="AE44" s="171" t="str">
        <f t="shared" si="20"/>
        <v/>
      </c>
      <c r="AF44" s="45" t="str">
        <f t="shared" si="21"/>
        <v/>
      </c>
      <c r="AG44" s="175" t="str">
        <f t="shared" si="22"/>
        <v/>
      </c>
      <c r="AH44" s="176">
        <f t="shared" si="23"/>
        <v>0</v>
      </c>
      <c r="AI44" s="176">
        <f t="shared" si="24"/>
        <v>0</v>
      </c>
      <c r="AJ44" s="185">
        <f t="shared" si="25"/>
        <v>0</v>
      </c>
      <c r="AK44" s="44"/>
      <c r="AM44" s="44"/>
      <c r="AO44" s="44"/>
      <c r="AP44" s="44" t="str">
        <f t="shared" si="26"/>
        <v/>
      </c>
    </row>
    <row r="45" spans="2:42" s="46" customFormat="1" ht="18.75" customHeight="1">
      <c r="B45" s="226" t="s">
        <v>73</v>
      </c>
      <c r="C45" s="227">
        <f>IF(B45&lt;&gt;"",VLOOKUP(B45,'Tipo Projeto'!$A$3:$B$44,2,0),0)</f>
        <v>1</v>
      </c>
      <c r="D45" s="228" t="s">
        <v>355</v>
      </c>
      <c r="E45" s="236"/>
      <c r="F45" s="233" t="s">
        <v>453</v>
      </c>
      <c r="G45" s="228" t="s">
        <v>79</v>
      </c>
      <c r="H45" s="229"/>
      <c r="I45" s="230">
        <v>3</v>
      </c>
      <c r="J45" s="225" t="s">
        <v>456</v>
      </c>
      <c r="K45" s="231">
        <v>1</v>
      </c>
      <c r="L45" s="237" t="s">
        <v>315</v>
      </c>
      <c r="M45" s="232" t="str">
        <f t="shared" ref="M45:M47" si="42">IF(G45="EE",IF(OR(AND(OR(K45=1,K45=0),I45&gt;0,I45&lt;5),AND(OR(K45=1,K45=0),I45&gt;4,I45&lt;16),AND(K45=2,I45&gt;0,I45&lt;5)),"Simples",IF(OR(AND(OR(K45=1,K45=0),I45&gt;15),AND(K45=2,I45&gt;4,I45&lt;16),AND(K45&gt;2,I45&gt;0,I45&lt;5)),"Médio",IF(OR(AND(K45=2,I45&gt;15),AND(K45&gt;2,I45&gt;4,I45&lt;16),AND(K45&gt;2,I45&gt;15)),"Complexo",""))),
IF(OR(G45="CE",G45="SE"),IF(OR(AND(OR(K45=1,K45=0),I45&gt;0,I45&lt;6),AND(OR(K45=1,K45=0),I45&gt;5,I45&lt;20),AND(K45&gt;1,K45&lt;4,I45&gt;0,I45&lt;6)),"Simples",IF(OR(AND(OR(K45=1,K45=0),I45&gt;19),AND(K45&gt;1,K45&lt;4,I45&gt;5,I45&lt;20),AND(K45&gt;3,I45&gt;0,I45&lt;6)),"Médio",IF(OR(AND(K45&gt;1,K45&lt;4,I45&gt;19),AND(K45&gt;3,I45&gt;5,I45&lt;20),AND(K45&gt;3,I45&gt;19)),"Complexo",""))),""))</f>
        <v>Simples</v>
      </c>
      <c r="N45" s="233" t="str">
        <f t="shared" ref="N45:N47" si="43">IF(G45="ALI",IF(OR(AND(OR(K45=1,K45=0),I45&gt;0,I45&lt;20),AND(OR(K45=1,K45=0),I45&gt;19,I45&lt;51),AND(K45&gt;1,K45&lt;6,I45&gt;0,I45&lt;20)),"Simples",IF(OR(AND(OR(K45=1,K45=0),I45&gt;50),AND(K45&gt;1,K45&lt;6,I45&gt;19,I45&lt;51),AND(K45&gt;5,I45&gt;0,I45&lt;20)),"Médio",IF(OR(AND(K45&gt;1,K45&lt;6,I45&gt;50),AND(K45&gt;5,I45&gt;19,I45&lt;51),AND(K45&gt;5,I45&gt;50)),"Complexo",""))),
IF(G45="AIE",IF(OR(AND(OR(K45=1, K45=0),I45&gt;0,I45&lt;20),AND(OR(K45=1, K45=0),I45&gt;19,I45&lt;51),AND(K45&gt;1,K45&lt;6,I45&gt;0,I45&lt;20)),"Simples",IF(OR(AND(OR(K45=1, K45=0),I45&gt;50),AND(K45&gt;1,K45&lt;6,I45&gt;19,I45&lt;51),AND(K45&gt;5,I45&gt;0,I45&lt;20)),"Médio",IF(OR(AND(K45&gt;1,K45&lt;6,I45&gt;50),AND(K45&gt;5,I45&gt;19,I45&lt;51),AND(K45&gt;5,I45&gt;50)),"Complexo",""))),""))</f>
        <v/>
      </c>
      <c r="O45" s="234" t="str">
        <f t="shared" ref="O45:O47" si="44">IF(M45="",N45,IF(N45="",M45,""))</f>
        <v>Simples</v>
      </c>
      <c r="P45" s="235">
        <f t="shared" ref="P45:P47" si="45">IF(AND(OR(G45="EE",G45="CE"),O45="Simples"),3,
IF(AND(OR(G45="EE",G45="CE"),O45="Médio"),4,
IF(AND(OR(G45="EE",G45="CE"),O45="Complexo"),6,
IF(AND(G45="SE",O45="Simples"),4,
IF(AND(G45="SE",O45="Médio"),5,
IF(AND(G45="SE",O45="Complexo"),7,0))))))</f>
        <v>3</v>
      </c>
      <c r="Q45" s="235">
        <f t="shared" ref="Q45:Q47" si="46">IF(AND(G45="ALI",N45="Simples"),7,
IF(AND(G45="ALI",N45="Médio"),10,
IF(AND(G45="ALI",N45="Complexo"),15,
IF(AND(G45="AIE",N45="Simples"),5,
IF(AND(G45="AIE",N45="Médio"),7,
IF(AND(G45="AIE",N45="Complexo"),10,0))))))</f>
        <v>0</v>
      </c>
      <c r="R45" s="234">
        <f t="shared" ref="R45:R47" si="47">IF(G45="INM",C45*H45,IF(AND(OR(G45="EE",G45="CE"),O45="Simples"),3,
IF(AND(OR(G45="EE",G45="CE"),O45="Médio"),4,
IF(AND(OR(G45="EE",G45="CE"),O45="Complexo"),6,
IF(AND(G45="SE",O45="Simples"),4,
IF(AND(G45="SE",O45="Médio"),5,
IF(AND(G45="SE",O45="Complexo"),7,
IF(AND(G45="ALI",O45="Médio"),10,
IF(AND(G45="ALI",O45="Simples"),7,
IF(AND(G45="ALI",O45="Complexo"),15,
IF(AND(G45="AIE",O45="Simples"),5,
IF(AND(G45="AIE",O45="Médio"),7,
IF(AND(G45="AIE",O45="Complexo"),10,0))
)))))))))))</f>
        <v>3</v>
      </c>
      <c r="S45" s="234">
        <f t="shared" ref="S45:S47" si="48">IF(G45="INM",C45*H45,IF(B45&lt;&gt;"Manutenção em interface",IF(B45&lt;&gt;"Desenv., Manutenção e Publicação de Páginas Estáticas",(P45+Q45)*C45,C45),C45))</f>
        <v>3</v>
      </c>
      <c r="T45" s="236"/>
      <c r="U45" s="236"/>
      <c r="W45" s="184"/>
      <c r="X45" s="56"/>
      <c r="Y45" s="155">
        <f>IF(X45&lt;&gt;"",VLOOKUP(X45,'Tipo Projeto'!$A$3:$B$44,2,0),0)</f>
        <v>0</v>
      </c>
      <c r="Z45" s="44"/>
      <c r="AA45" s="57"/>
      <c r="AB45" s="170"/>
      <c r="AC45" s="174"/>
      <c r="AD45" s="165"/>
      <c r="AE45" s="171" t="str">
        <f t="shared" ref="AE45:AE47" si="49">IF(Z45="EE",IF(OR(AND(OR(AC45=1,AC45=0),AA45&gt;0,AA45&lt;5),AND(OR(AC45=1,AC45=0),AA45&gt;4,AA45&lt;16),AND(AC45=2,AA45&gt;0,AA45&lt;5)),"Simples",IF(OR(AND(OR(AC45=1,AC45=0),AA45&gt;15),AND(AC45=2,AA45&gt;4,AA45&lt;16),AND(AC45&gt;2,AA45&gt;0,AA45&lt;5)),"Médio",IF(OR(AND(AC45=2,AA45&gt;15),AND(AC45&gt;2,AA45&gt;4,AA45&lt;16),AND(AC45&gt;2,AA45&gt;15)),"Complexo",""))),
IF(OR(Z45="CE",Z45="SE"),IF(OR(AND(OR(AC45=1,AC45=0),AA45&gt;0,AA45&lt;6),AND(OR(AC45=1,AC45=0),AA45&gt;5,AA45&lt;20),AND(AC45&gt;1,AC45&lt;4,AA45&gt;0,AA45&lt;6)),"Simples",IF(OR(AND(OR(AC45=1,AC45=0),AA45&gt;19),AND(AC45&gt;1,AC45&lt;4,AA45&gt;5,AA45&lt;20),AND(AC45&gt;3,AA45&gt;0,AA45&lt;6)),"Médio",IF(OR(AND(AC45&gt;1,AC45&lt;4,AA45&gt;19),AND(AC45&gt;3,AA45&gt;5,AA45&lt;20),AND(AC45&gt;3,AA45&gt;19)),"Complexo",""))),""))</f>
        <v/>
      </c>
      <c r="AF45" s="45" t="str">
        <f t="shared" ref="AF45:AF47" si="50">IF(Z45="ALI",IF(OR(AND(OR(AC45=1,AC45=0),AA45&gt;0,AA45&lt;20),AND(OR(AC45=1,AC45=0),AA45&gt;19,AA45&lt;51),AND(AC45&gt;1,AC45&lt;6,AA45&gt;0,AA45&lt;20)),"Simples",IF(OR(AND(OR(AC45=1,AC45=0),AA45&gt;50),AND(AC45&gt;1,AC45&lt;6,AA45&gt;19,AA45&lt;51),AND(AC45&gt;5,AA45&gt;0,AA45&lt;20)),"Médio",IF(OR(AND(AC45&gt;1,AC45&lt;6,AA45&gt;50),AND(AC45&gt;5,AA45&gt;19,AA45&lt;51),AND(AC45&gt;5,AA45&gt;50)),"Complexo",""))),
IF(Z45="AIE",IF(OR(AND(OR(AC45=1, AC45=0),AA45&gt;0,AA45&lt;20),AND(OR(AC45=1, AC45=0),AA45&gt;19,AA45&lt;51),AND(AC45&gt;1,AC45&lt;6,AA45&gt;0,AA45&lt;20)),"Simples",IF(OR(AND(OR(AC45=1, AC45=0),AA45&gt;50),AND(AC45&gt;1,AC45&lt;6,AA45&gt;19,AA45&lt;51),AND(AC45&gt;5,AA45&gt;0,AA45&lt;20)),"Médio",IF(OR(AND(AC45&gt;1,AC45&lt;6,AA45&gt;50),AND(AC45&gt;5,AA45&gt;19,AA45&lt;51),AND(AC45&gt;5,AA45&gt;50)),"Complexo",""))),""))</f>
        <v/>
      </c>
      <c r="AG45" s="175" t="str">
        <f t="shared" ref="AG45:AG47" si="51">IF(AE45="",AF45,IF(AF45="",AE45,""))</f>
        <v/>
      </c>
      <c r="AH45" s="176">
        <f t="shared" ref="AH45:AH47" si="52">IF(AND(OR(Z45="EE",Z45="CE"),AG45="Simples"),3,
IF(AND(OR(Z45="EE",Z45="CE"),AG45="Médio"),4,
IF(AND(OR(Z45="EE",Z45="CE"),AG45="Complexo"),6,
IF(AND(Z45="SE",AG45="Simples"),4,
IF(AND(Z45="SE",AG45="Médio"),5,
IF(AND(Z45="SE",AG45="Complexo"),7,0))))))</f>
        <v>0</v>
      </c>
      <c r="AI45" s="176">
        <f t="shared" ref="AI45:AI47" si="53">IF(AND(Z45="ALI",AF45="Simples"),7,
IF(AND(Z45="ALI",AF45="Médio"),10,
IF(AND(Z45="ALI",AF45="Complexo"),15,
IF(AND(Z45="AIE",AF45="Simples"),5,
IF(AND(Z45="AIE",AF45="Médio"),7,
IF(AND(Z45="AIE",AF45="Complexo"),10,0))))))</f>
        <v>0</v>
      </c>
      <c r="AJ45" s="185">
        <f t="shared" ref="AJ45:AJ47" si="54">IF(W45="OK",S45,(
IF(X45&lt;&gt;"Manutenção em interface",IF(X45&lt;&gt;"Desenv., Manutenção e Publicação de Páginas Estáticas",(AH45+AI45)*Y45,Y45),Y45)))</f>
        <v>0</v>
      </c>
      <c r="AK45" s="44"/>
      <c r="AM45" s="44"/>
      <c r="AO45" s="44"/>
      <c r="AP45" s="44" t="str">
        <f t="shared" ref="AP45:AP47" si="55">IF(AJ45=0,"",IF(AJ45=S45,"OK","Divergente"))</f>
        <v/>
      </c>
    </row>
    <row r="46" spans="2:42" s="46" customFormat="1" ht="18.75" customHeight="1">
      <c r="B46" s="226" t="s">
        <v>73</v>
      </c>
      <c r="C46" s="227">
        <f>IF(B46&lt;&gt;"",VLOOKUP(B46,'Tipo Projeto'!$A$3:$B$44,2,0),0)</f>
        <v>1</v>
      </c>
      <c r="D46" s="228" t="s">
        <v>355</v>
      </c>
      <c r="E46" s="236"/>
      <c r="F46" s="233" t="s">
        <v>454</v>
      </c>
      <c r="G46" s="228" t="s">
        <v>78</v>
      </c>
      <c r="H46" s="229"/>
      <c r="I46" s="230">
        <v>5</v>
      </c>
      <c r="J46" s="225" t="s">
        <v>457</v>
      </c>
      <c r="K46" s="231">
        <v>4</v>
      </c>
      <c r="L46" s="237" t="s">
        <v>458</v>
      </c>
      <c r="M46" s="232" t="str">
        <f t="shared" si="42"/>
        <v>Complexo</v>
      </c>
      <c r="N46" s="233" t="str">
        <f t="shared" si="43"/>
        <v/>
      </c>
      <c r="O46" s="234" t="str">
        <f t="shared" si="44"/>
        <v>Complexo</v>
      </c>
      <c r="P46" s="235">
        <f t="shared" si="45"/>
        <v>6</v>
      </c>
      <c r="Q46" s="235">
        <f t="shared" si="46"/>
        <v>0</v>
      </c>
      <c r="R46" s="234">
        <f t="shared" si="47"/>
        <v>6</v>
      </c>
      <c r="S46" s="234">
        <f t="shared" si="48"/>
        <v>6</v>
      </c>
      <c r="T46" s="236"/>
      <c r="U46" s="236"/>
      <c r="W46" s="184"/>
      <c r="X46" s="56"/>
      <c r="Y46" s="155">
        <f>IF(X46&lt;&gt;"",VLOOKUP(X46,'Tipo Projeto'!$A$3:$B$44,2,0),0)</f>
        <v>0</v>
      </c>
      <c r="Z46" s="44"/>
      <c r="AA46" s="57"/>
      <c r="AB46" s="170"/>
      <c r="AC46" s="174"/>
      <c r="AD46" s="165"/>
      <c r="AE46" s="171" t="str">
        <f t="shared" si="49"/>
        <v/>
      </c>
      <c r="AF46" s="45" t="str">
        <f t="shared" si="50"/>
        <v/>
      </c>
      <c r="AG46" s="175" t="str">
        <f t="shared" si="51"/>
        <v/>
      </c>
      <c r="AH46" s="176">
        <f t="shared" si="52"/>
        <v>0</v>
      </c>
      <c r="AI46" s="176">
        <f t="shared" si="53"/>
        <v>0</v>
      </c>
      <c r="AJ46" s="185">
        <f t="shared" si="54"/>
        <v>0</v>
      </c>
      <c r="AK46" s="44"/>
      <c r="AM46" s="44"/>
      <c r="AO46" s="44"/>
      <c r="AP46" s="44" t="str">
        <f t="shared" si="55"/>
        <v/>
      </c>
    </row>
    <row r="47" spans="2:42" s="46" customFormat="1" ht="18.75" customHeight="1">
      <c r="B47" s="226" t="s">
        <v>73</v>
      </c>
      <c r="C47" s="227">
        <f>IF(B47&lt;&gt;"",VLOOKUP(B47,'Tipo Projeto'!$A$3:$B$44,2,0),0)</f>
        <v>1</v>
      </c>
      <c r="D47" s="228" t="s">
        <v>355</v>
      </c>
      <c r="E47" s="236"/>
      <c r="F47" s="233" t="s">
        <v>455</v>
      </c>
      <c r="G47" s="228" t="s">
        <v>79</v>
      </c>
      <c r="H47" s="229"/>
      <c r="I47" s="230">
        <v>3</v>
      </c>
      <c r="J47" s="225" t="s">
        <v>375</v>
      </c>
      <c r="K47" s="231">
        <v>2</v>
      </c>
      <c r="L47" s="237" t="s">
        <v>378</v>
      </c>
      <c r="M47" s="232" t="str">
        <f t="shared" si="42"/>
        <v>Simples</v>
      </c>
      <c r="N47" s="233" t="str">
        <f t="shared" si="43"/>
        <v/>
      </c>
      <c r="O47" s="234" t="str">
        <f t="shared" si="44"/>
        <v>Simples</v>
      </c>
      <c r="P47" s="235">
        <f t="shared" si="45"/>
        <v>3</v>
      </c>
      <c r="Q47" s="235">
        <f t="shared" si="46"/>
        <v>0</v>
      </c>
      <c r="R47" s="234">
        <f t="shared" si="47"/>
        <v>3</v>
      </c>
      <c r="S47" s="234">
        <f t="shared" si="48"/>
        <v>3</v>
      </c>
      <c r="T47" s="236"/>
      <c r="U47" s="236"/>
      <c r="W47" s="184"/>
      <c r="X47" s="56"/>
      <c r="Y47" s="155">
        <f>IF(X47&lt;&gt;"",VLOOKUP(X47,'Tipo Projeto'!$A$3:$B$44,2,0),0)</f>
        <v>0</v>
      </c>
      <c r="Z47" s="44"/>
      <c r="AA47" s="57"/>
      <c r="AB47" s="170"/>
      <c r="AC47" s="174"/>
      <c r="AD47" s="165"/>
      <c r="AE47" s="171" t="str">
        <f t="shared" si="49"/>
        <v/>
      </c>
      <c r="AF47" s="45" t="str">
        <f t="shared" si="50"/>
        <v/>
      </c>
      <c r="AG47" s="175" t="str">
        <f t="shared" si="51"/>
        <v/>
      </c>
      <c r="AH47" s="176">
        <f t="shared" si="52"/>
        <v>0</v>
      </c>
      <c r="AI47" s="176">
        <f t="shared" si="53"/>
        <v>0</v>
      </c>
      <c r="AJ47" s="185">
        <f t="shared" si="54"/>
        <v>0</v>
      </c>
      <c r="AK47" s="44"/>
      <c r="AM47" s="44"/>
      <c r="AO47" s="44"/>
      <c r="AP47" s="44" t="str">
        <f t="shared" si="55"/>
        <v/>
      </c>
    </row>
    <row r="48" spans="2:42" s="46" customFormat="1" ht="18.75" customHeight="1">
      <c r="B48" s="226" t="s">
        <v>73</v>
      </c>
      <c r="C48" s="227">
        <f>IF(B48&lt;&gt;"",VLOOKUP(B48,'Tipo Projeto'!$A$3:$B$44,2,0),0)</f>
        <v>1</v>
      </c>
      <c r="D48" s="228" t="s">
        <v>355</v>
      </c>
      <c r="E48" s="236"/>
      <c r="F48" s="233" t="s">
        <v>289</v>
      </c>
      <c r="G48" s="228" t="s">
        <v>79</v>
      </c>
      <c r="H48" s="229"/>
      <c r="I48" s="230">
        <v>5</v>
      </c>
      <c r="J48" s="225" t="s">
        <v>294</v>
      </c>
      <c r="K48" s="231">
        <v>1</v>
      </c>
      <c r="L48" s="237" t="s">
        <v>315</v>
      </c>
      <c r="M48" s="232" t="str">
        <f t="shared" si="14"/>
        <v>Simples</v>
      </c>
      <c r="N48" s="233" t="str">
        <f t="shared" si="15"/>
        <v/>
      </c>
      <c r="O48" s="234" t="str">
        <f t="shared" si="41"/>
        <v>Simples</v>
      </c>
      <c r="P48" s="235">
        <f t="shared" si="16"/>
        <v>3</v>
      </c>
      <c r="Q48" s="235">
        <f t="shared" si="17"/>
        <v>0</v>
      </c>
      <c r="R48" s="234">
        <f t="shared" si="18"/>
        <v>3</v>
      </c>
      <c r="S48" s="234">
        <f t="shared" si="19"/>
        <v>3</v>
      </c>
      <c r="T48" s="236" t="s">
        <v>362</v>
      </c>
      <c r="U48" s="236"/>
      <c r="W48" s="184"/>
      <c r="X48" s="56"/>
      <c r="Y48" s="155">
        <f>IF(X48&lt;&gt;"",VLOOKUP(X48,'Tipo Projeto'!$A$3:$B$44,2,0),0)</f>
        <v>0</v>
      </c>
      <c r="Z48" s="44"/>
      <c r="AA48" s="57"/>
      <c r="AB48" s="170"/>
      <c r="AC48" s="174"/>
      <c r="AD48" s="165"/>
      <c r="AE48" s="171" t="str">
        <f t="shared" si="20"/>
        <v/>
      </c>
      <c r="AF48" s="45" t="str">
        <f t="shared" si="21"/>
        <v/>
      </c>
      <c r="AG48" s="175" t="str">
        <f t="shared" si="22"/>
        <v/>
      </c>
      <c r="AH48" s="176">
        <f t="shared" si="23"/>
        <v>0</v>
      </c>
      <c r="AI48" s="176">
        <f t="shared" si="24"/>
        <v>0</v>
      </c>
      <c r="AJ48" s="185">
        <f t="shared" si="25"/>
        <v>0</v>
      </c>
      <c r="AK48" s="44"/>
      <c r="AM48" s="44"/>
      <c r="AO48" s="44"/>
      <c r="AP48" s="44" t="str">
        <f t="shared" si="26"/>
        <v/>
      </c>
    </row>
    <row r="49" spans="2:42" s="46" customFormat="1" ht="18.75" customHeight="1">
      <c r="B49" s="226" t="s">
        <v>73</v>
      </c>
      <c r="C49" s="227">
        <f>IF(B49&lt;&gt;"",VLOOKUP(B49,'Tipo Projeto'!$A$3:$B$44,2,0),0)</f>
        <v>1</v>
      </c>
      <c r="D49" s="228" t="s">
        <v>355</v>
      </c>
      <c r="E49" s="236"/>
      <c r="F49" s="233" t="s">
        <v>290</v>
      </c>
      <c r="G49" s="228" t="s">
        <v>78</v>
      </c>
      <c r="H49" s="229"/>
      <c r="I49" s="230">
        <v>5</v>
      </c>
      <c r="J49" s="225" t="s">
        <v>295</v>
      </c>
      <c r="K49" s="231">
        <v>1</v>
      </c>
      <c r="L49" s="237" t="s">
        <v>315</v>
      </c>
      <c r="M49" s="232" t="str">
        <f t="shared" si="14"/>
        <v>Simples</v>
      </c>
      <c r="N49" s="233" t="str">
        <f t="shared" si="15"/>
        <v/>
      </c>
      <c r="O49" s="234" t="str">
        <f t="shared" si="41"/>
        <v>Simples</v>
      </c>
      <c r="P49" s="235">
        <f t="shared" si="16"/>
        <v>3</v>
      </c>
      <c r="Q49" s="235">
        <f t="shared" si="17"/>
        <v>0</v>
      </c>
      <c r="R49" s="234">
        <f t="shared" si="18"/>
        <v>3</v>
      </c>
      <c r="S49" s="234">
        <f t="shared" si="19"/>
        <v>3</v>
      </c>
      <c r="T49" s="236" t="s">
        <v>362</v>
      </c>
      <c r="U49" s="236"/>
      <c r="W49" s="184"/>
      <c r="X49" s="56"/>
      <c r="Y49" s="155">
        <f>IF(X49&lt;&gt;"",VLOOKUP(X49,'Tipo Projeto'!$A$3:$B$44,2,0),0)</f>
        <v>0</v>
      </c>
      <c r="Z49" s="44"/>
      <c r="AA49" s="57"/>
      <c r="AB49" s="170"/>
      <c r="AC49" s="174"/>
      <c r="AD49" s="165"/>
      <c r="AE49" s="171" t="str">
        <f t="shared" si="20"/>
        <v/>
      </c>
      <c r="AF49" s="45" t="str">
        <f t="shared" si="21"/>
        <v/>
      </c>
      <c r="AG49" s="175" t="str">
        <f t="shared" si="22"/>
        <v/>
      </c>
      <c r="AH49" s="176">
        <f t="shared" si="23"/>
        <v>0</v>
      </c>
      <c r="AI49" s="176">
        <f t="shared" si="24"/>
        <v>0</v>
      </c>
      <c r="AJ49" s="185">
        <f t="shared" si="25"/>
        <v>0</v>
      </c>
      <c r="AK49" s="44"/>
      <c r="AM49" s="44"/>
      <c r="AO49" s="44"/>
      <c r="AP49" s="44" t="str">
        <f t="shared" si="26"/>
        <v/>
      </c>
    </row>
    <row r="50" spans="2:42" s="46" customFormat="1" ht="18.75" customHeight="1">
      <c r="B50" s="226" t="s">
        <v>73</v>
      </c>
      <c r="C50" s="227">
        <f>IF(B50&lt;&gt;"",VLOOKUP(B50,'Tipo Projeto'!$A$3:$B$44,2,0),0)</f>
        <v>1</v>
      </c>
      <c r="D50" s="228" t="s">
        <v>355</v>
      </c>
      <c r="E50" s="236"/>
      <c r="F50" s="233" t="s">
        <v>292</v>
      </c>
      <c r="G50" s="228" t="s">
        <v>79</v>
      </c>
      <c r="H50" s="229"/>
      <c r="I50" s="230">
        <v>4</v>
      </c>
      <c r="J50" s="225" t="s">
        <v>296</v>
      </c>
      <c r="K50" s="231">
        <v>1</v>
      </c>
      <c r="L50" s="237" t="s">
        <v>315</v>
      </c>
      <c r="M50" s="232" t="str">
        <f t="shared" si="14"/>
        <v>Simples</v>
      </c>
      <c r="N50" s="233" t="str">
        <f t="shared" si="15"/>
        <v/>
      </c>
      <c r="O50" s="234" t="str">
        <f t="shared" si="41"/>
        <v>Simples</v>
      </c>
      <c r="P50" s="235">
        <f t="shared" si="16"/>
        <v>3</v>
      </c>
      <c r="Q50" s="235">
        <f t="shared" si="17"/>
        <v>0</v>
      </c>
      <c r="R50" s="234">
        <f t="shared" si="18"/>
        <v>3</v>
      </c>
      <c r="S50" s="234">
        <f t="shared" si="19"/>
        <v>3</v>
      </c>
      <c r="T50" s="236" t="s">
        <v>362</v>
      </c>
      <c r="U50" s="236"/>
      <c r="W50" s="184"/>
      <c r="X50" s="56"/>
      <c r="Y50" s="155">
        <f>IF(X50&lt;&gt;"",VLOOKUP(X50,'Tipo Projeto'!$A$3:$B$44,2,0),0)</f>
        <v>0</v>
      </c>
      <c r="Z50" s="44"/>
      <c r="AA50" s="57"/>
      <c r="AB50" s="170"/>
      <c r="AC50" s="174"/>
      <c r="AD50" s="165"/>
      <c r="AE50" s="171" t="str">
        <f t="shared" si="20"/>
        <v/>
      </c>
      <c r="AF50" s="45" t="str">
        <f t="shared" si="21"/>
        <v/>
      </c>
      <c r="AG50" s="175" t="str">
        <f t="shared" si="22"/>
        <v/>
      </c>
      <c r="AH50" s="176">
        <f t="shared" si="23"/>
        <v>0</v>
      </c>
      <c r="AI50" s="176">
        <f t="shared" si="24"/>
        <v>0</v>
      </c>
      <c r="AJ50" s="185">
        <f t="shared" si="25"/>
        <v>0</v>
      </c>
      <c r="AK50" s="44"/>
      <c r="AM50" s="44"/>
      <c r="AO50" s="44"/>
      <c r="AP50" s="44" t="str">
        <f t="shared" si="26"/>
        <v/>
      </c>
    </row>
    <row r="51" spans="2:42" s="46" customFormat="1" ht="18.75" customHeight="1">
      <c r="B51" s="226" t="s">
        <v>73</v>
      </c>
      <c r="C51" s="227">
        <f>IF(B51&lt;&gt;"",VLOOKUP(B51,'Tipo Projeto'!$A$3:$B$44,2,0),0)</f>
        <v>1</v>
      </c>
      <c r="D51" s="228" t="s">
        <v>355</v>
      </c>
      <c r="E51" s="236"/>
      <c r="F51" s="233" t="s">
        <v>291</v>
      </c>
      <c r="G51" s="228" t="s">
        <v>78</v>
      </c>
      <c r="H51" s="229"/>
      <c r="I51" s="230">
        <v>5</v>
      </c>
      <c r="J51" s="225" t="s">
        <v>295</v>
      </c>
      <c r="K51" s="231">
        <v>1</v>
      </c>
      <c r="L51" s="237" t="s">
        <v>315</v>
      </c>
      <c r="M51" s="232" t="str">
        <f t="shared" si="14"/>
        <v>Simples</v>
      </c>
      <c r="N51" s="233" t="str">
        <f t="shared" si="15"/>
        <v/>
      </c>
      <c r="O51" s="234" t="str">
        <f t="shared" si="41"/>
        <v>Simples</v>
      </c>
      <c r="P51" s="235">
        <f t="shared" si="16"/>
        <v>3</v>
      </c>
      <c r="Q51" s="235">
        <f t="shared" si="17"/>
        <v>0</v>
      </c>
      <c r="R51" s="234">
        <f t="shared" si="18"/>
        <v>3</v>
      </c>
      <c r="S51" s="234">
        <f t="shared" si="19"/>
        <v>3</v>
      </c>
      <c r="T51" s="236" t="s">
        <v>362</v>
      </c>
      <c r="U51" s="236"/>
      <c r="W51" s="184"/>
      <c r="X51" s="56"/>
      <c r="Y51" s="155">
        <f>IF(X51&lt;&gt;"",VLOOKUP(X51,'Tipo Projeto'!$A$3:$B$44,2,0),0)</f>
        <v>0</v>
      </c>
      <c r="Z51" s="44"/>
      <c r="AA51" s="57"/>
      <c r="AB51" s="170"/>
      <c r="AC51" s="174"/>
      <c r="AD51" s="165"/>
      <c r="AE51" s="171" t="str">
        <f t="shared" si="20"/>
        <v/>
      </c>
      <c r="AF51" s="45" t="str">
        <f t="shared" si="21"/>
        <v/>
      </c>
      <c r="AG51" s="175" t="str">
        <f t="shared" si="22"/>
        <v/>
      </c>
      <c r="AH51" s="176">
        <f t="shared" si="23"/>
        <v>0</v>
      </c>
      <c r="AI51" s="176">
        <f t="shared" si="24"/>
        <v>0</v>
      </c>
      <c r="AJ51" s="185">
        <f t="shared" si="25"/>
        <v>0</v>
      </c>
      <c r="AK51" s="44"/>
      <c r="AM51" s="44"/>
      <c r="AO51" s="44"/>
      <c r="AP51" s="44" t="str">
        <f t="shared" si="26"/>
        <v/>
      </c>
    </row>
    <row r="52" spans="2:42" s="46" customFormat="1" ht="18.75" customHeight="1">
      <c r="B52" s="226" t="s">
        <v>73</v>
      </c>
      <c r="C52" s="227">
        <f>IF(B52&lt;&gt;"",VLOOKUP(B52,'Tipo Projeto'!$A$3:$B$44,2,0),0)</f>
        <v>1</v>
      </c>
      <c r="D52" s="228" t="s">
        <v>355</v>
      </c>
      <c r="E52" s="236"/>
      <c r="F52" s="233" t="s">
        <v>293</v>
      </c>
      <c r="G52" s="228" t="s">
        <v>78</v>
      </c>
      <c r="H52" s="229"/>
      <c r="I52" s="230">
        <v>3</v>
      </c>
      <c r="J52" s="225" t="s">
        <v>272</v>
      </c>
      <c r="K52" s="231">
        <v>1</v>
      </c>
      <c r="L52" s="237" t="s">
        <v>315</v>
      </c>
      <c r="M52" s="232" t="str">
        <f t="shared" si="14"/>
        <v>Simples</v>
      </c>
      <c r="N52" s="233" t="str">
        <f t="shared" si="15"/>
        <v/>
      </c>
      <c r="O52" s="234" t="str">
        <f t="shared" si="41"/>
        <v>Simples</v>
      </c>
      <c r="P52" s="235">
        <f t="shared" si="16"/>
        <v>3</v>
      </c>
      <c r="Q52" s="235">
        <f t="shared" si="17"/>
        <v>0</v>
      </c>
      <c r="R52" s="234">
        <f t="shared" si="18"/>
        <v>3</v>
      </c>
      <c r="S52" s="234">
        <f t="shared" si="19"/>
        <v>3</v>
      </c>
      <c r="T52" s="236" t="s">
        <v>362</v>
      </c>
      <c r="U52" s="236"/>
      <c r="W52" s="184"/>
      <c r="X52" s="56"/>
      <c r="Y52" s="155">
        <f>IF(X52&lt;&gt;"",VLOOKUP(X52,'Tipo Projeto'!$A$3:$B$44,2,0),0)</f>
        <v>0</v>
      </c>
      <c r="Z52" s="44"/>
      <c r="AA52" s="57"/>
      <c r="AB52" s="170"/>
      <c r="AC52" s="174"/>
      <c r="AD52" s="165"/>
      <c r="AE52" s="171" t="str">
        <f t="shared" si="20"/>
        <v/>
      </c>
      <c r="AF52" s="45" t="str">
        <f t="shared" si="21"/>
        <v/>
      </c>
      <c r="AG52" s="175" t="str">
        <f t="shared" si="22"/>
        <v/>
      </c>
      <c r="AH52" s="176">
        <f t="shared" si="23"/>
        <v>0</v>
      </c>
      <c r="AI52" s="176">
        <f t="shared" si="24"/>
        <v>0</v>
      </c>
      <c r="AJ52" s="185">
        <f t="shared" si="25"/>
        <v>0</v>
      </c>
      <c r="AK52" s="44"/>
      <c r="AM52" s="44"/>
      <c r="AO52" s="44"/>
      <c r="AP52" s="44" t="str">
        <f t="shared" si="26"/>
        <v/>
      </c>
    </row>
    <row r="53" spans="2:42" s="46" customFormat="1" ht="18.75" customHeight="1">
      <c r="B53" s="226" t="s">
        <v>73</v>
      </c>
      <c r="C53" s="227">
        <f>IF(B53&lt;&gt;"",VLOOKUP(B53,'Tipo Projeto'!$A$3:$B$44,2,0),0)</f>
        <v>1</v>
      </c>
      <c r="D53" s="228" t="s">
        <v>355</v>
      </c>
      <c r="E53" s="236" t="s">
        <v>423</v>
      </c>
      <c r="F53" s="233" t="s">
        <v>418</v>
      </c>
      <c r="G53" s="228" t="s">
        <v>79</v>
      </c>
      <c r="H53" s="229"/>
      <c r="I53" s="230">
        <v>6</v>
      </c>
      <c r="J53" s="225" t="s">
        <v>419</v>
      </c>
      <c r="K53" s="231">
        <v>1</v>
      </c>
      <c r="L53" s="237" t="s">
        <v>315</v>
      </c>
      <c r="M53" s="232" t="str">
        <f t="shared" ref="M53:M55" si="56">IF(G53="EE",IF(OR(AND(OR(K53=1,K53=0),I53&gt;0,I53&lt;5),AND(OR(K53=1,K53=0),I53&gt;4,I53&lt;16),AND(K53=2,I53&gt;0,I53&lt;5)),"Simples",IF(OR(AND(OR(K53=1,K53=0),I53&gt;15),AND(K53=2,I53&gt;4,I53&lt;16),AND(K53&gt;2,I53&gt;0,I53&lt;5)),"Médio",IF(OR(AND(K53=2,I53&gt;15),AND(K53&gt;2,I53&gt;4,I53&lt;16),AND(K53&gt;2,I53&gt;15)),"Complexo",""))),
IF(OR(G53="CE",G53="SE"),IF(OR(AND(OR(K53=1,K53=0),I53&gt;0,I53&lt;6),AND(OR(K53=1,K53=0),I53&gt;5,I53&lt;20),AND(K53&gt;1,K53&lt;4,I53&gt;0,I53&lt;6)),"Simples",IF(OR(AND(OR(K53=1,K53=0),I53&gt;19),AND(K53&gt;1,K53&lt;4,I53&gt;5,I53&lt;20),AND(K53&gt;3,I53&gt;0,I53&lt;6)),"Médio",IF(OR(AND(K53&gt;1,K53&lt;4,I53&gt;19),AND(K53&gt;3,I53&gt;5,I53&lt;20),AND(K53&gt;3,I53&gt;19)),"Complexo",""))),""))</f>
        <v>Simples</v>
      </c>
      <c r="N53" s="233" t="str">
        <f t="shared" ref="N53:N55" si="57">IF(G53="ALI",IF(OR(AND(OR(K53=1,K53=0),I53&gt;0,I53&lt;20),AND(OR(K53=1,K53=0),I53&gt;19,I53&lt;51),AND(K53&gt;1,K53&lt;6,I53&gt;0,I53&lt;20)),"Simples",IF(OR(AND(OR(K53=1,K53=0),I53&gt;50),AND(K53&gt;1,K53&lt;6,I53&gt;19,I53&lt;51),AND(K53&gt;5,I53&gt;0,I53&lt;20)),"Médio",IF(OR(AND(K53&gt;1,K53&lt;6,I53&gt;50),AND(K53&gt;5,I53&gt;19,I53&lt;51),AND(K53&gt;5,I53&gt;50)),"Complexo",""))),
IF(G53="AIE",IF(OR(AND(OR(K53=1, K53=0),I53&gt;0,I53&lt;20),AND(OR(K53=1, K53=0),I53&gt;19,I53&lt;51),AND(K53&gt;1,K53&lt;6,I53&gt;0,I53&lt;20)),"Simples",IF(OR(AND(OR(K53=1, K53=0),I53&gt;50),AND(K53&gt;1,K53&lt;6,I53&gt;19,I53&lt;51),AND(K53&gt;5,I53&gt;0,I53&lt;20)),"Médio",IF(OR(AND(K53&gt;1,K53&lt;6,I53&gt;50),AND(K53&gt;5,I53&gt;19,I53&lt;51),AND(K53&gt;5,I53&gt;50)),"Complexo",""))),""))</f>
        <v/>
      </c>
      <c r="O53" s="234" t="str">
        <f t="shared" ref="O53:O55" si="58">IF(M53="",N53,IF(N53="",M53,""))</f>
        <v>Simples</v>
      </c>
      <c r="P53" s="235">
        <f t="shared" ref="P53:P55" si="59">IF(AND(OR(G53="EE",G53="CE"),O53="Simples"),3,
IF(AND(OR(G53="EE",G53="CE"),O53="Médio"),4,
IF(AND(OR(G53="EE",G53="CE"),O53="Complexo"),6,
IF(AND(G53="SE",O53="Simples"),4,
IF(AND(G53="SE",O53="Médio"),5,
IF(AND(G53="SE",O53="Complexo"),7,0))))))</f>
        <v>3</v>
      </c>
      <c r="Q53" s="235">
        <f t="shared" ref="Q53:Q55" si="60">IF(AND(G53="ALI",N53="Simples"),7,
IF(AND(G53="ALI",N53="Médio"),10,
IF(AND(G53="ALI",N53="Complexo"),15,
IF(AND(G53="AIE",N53="Simples"),5,
IF(AND(G53="AIE",N53="Médio"),7,
IF(AND(G53="AIE",N53="Complexo"),10,0))))))</f>
        <v>0</v>
      </c>
      <c r="R53" s="234">
        <f t="shared" ref="R53:R55" si="61">IF(G53="INM",C53*H53,IF(AND(OR(G53="EE",G53="CE"),O53="Simples"),3,
IF(AND(OR(G53="EE",G53="CE"),O53="Médio"),4,
IF(AND(OR(G53="EE",G53="CE"),O53="Complexo"),6,
IF(AND(G53="SE",O53="Simples"),4,
IF(AND(G53="SE",O53="Médio"),5,
IF(AND(G53="SE",O53="Complexo"),7,
IF(AND(G53="ALI",O53="Médio"),10,
IF(AND(G53="ALI",O53="Simples"),7,
IF(AND(G53="ALI",O53="Complexo"),15,
IF(AND(G53="AIE",O53="Simples"),5,
IF(AND(G53="AIE",O53="Médio"),7,
IF(AND(G53="AIE",O53="Complexo"),10,0))
)))))))))))</f>
        <v>3</v>
      </c>
      <c r="S53" s="234">
        <f t="shared" ref="S53:S55" si="62">IF(G53="INM",C53*H53,IF(B53&lt;&gt;"Manutenção em interface",IF(B53&lt;&gt;"Desenv., Manutenção e Publicação de Páginas Estáticas",(P53+Q53)*C53,C53),C53))</f>
        <v>3</v>
      </c>
      <c r="T53" s="236">
        <v>21</v>
      </c>
      <c r="U53" s="236"/>
      <c r="W53" s="184"/>
      <c r="X53" s="56"/>
      <c r="Y53" s="155">
        <f>IF(X53&lt;&gt;"",VLOOKUP(X53,'Tipo Projeto'!$A$3:$B$44,2,0),0)</f>
        <v>0</v>
      </c>
      <c r="Z53" s="44"/>
      <c r="AA53" s="57"/>
      <c r="AB53" s="170"/>
      <c r="AC53" s="174"/>
      <c r="AD53" s="165"/>
      <c r="AE53" s="171" t="str">
        <f t="shared" ref="AE53:AE55" si="63">IF(Z53="EE",IF(OR(AND(OR(AC53=1,AC53=0),AA53&gt;0,AA53&lt;5),AND(OR(AC53=1,AC53=0),AA53&gt;4,AA53&lt;16),AND(AC53=2,AA53&gt;0,AA53&lt;5)),"Simples",IF(OR(AND(OR(AC53=1,AC53=0),AA53&gt;15),AND(AC53=2,AA53&gt;4,AA53&lt;16),AND(AC53&gt;2,AA53&gt;0,AA53&lt;5)),"Médio",IF(OR(AND(AC53=2,AA53&gt;15),AND(AC53&gt;2,AA53&gt;4,AA53&lt;16),AND(AC53&gt;2,AA53&gt;15)),"Complexo",""))),
IF(OR(Z53="CE",Z53="SE"),IF(OR(AND(OR(AC53=1,AC53=0),AA53&gt;0,AA53&lt;6),AND(OR(AC53=1,AC53=0),AA53&gt;5,AA53&lt;20),AND(AC53&gt;1,AC53&lt;4,AA53&gt;0,AA53&lt;6)),"Simples",IF(OR(AND(OR(AC53=1,AC53=0),AA53&gt;19),AND(AC53&gt;1,AC53&lt;4,AA53&gt;5,AA53&lt;20),AND(AC53&gt;3,AA53&gt;0,AA53&lt;6)),"Médio",IF(OR(AND(AC53&gt;1,AC53&lt;4,AA53&gt;19),AND(AC53&gt;3,AA53&gt;5,AA53&lt;20),AND(AC53&gt;3,AA53&gt;19)),"Complexo",""))),""))</f>
        <v/>
      </c>
      <c r="AF53" s="45" t="str">
        <f t="shared" ref="AF53:AF55" si="64">IF(Z53="ALI",IF(OR(AND(OR(AC53=1,AC53=0),AA53&gt;0,AA53&lt;20),AND(OR(AC53=1,AC53=0),AA53&gt;19,AA53&lt;51),AND(AC53&gt;1,AC53&lt;6,AA53&gt;0,AA53&lt;20)),"Simples",IF(OR(AND(OR(AC53=1,AC53=0),AA53&gt;50),AND(AC53&gt;1,AC53&lt;6,AA53&gt;19,AA53&lt;51),AND(AC53&gt;5,AA53&gt;0,AA53&lt;20)),"Médio",IF(OR(AND(AC53&gt;1,AC53&lt;6,AA53&gt;50),AND(AC53&gt;5,AA53&gt;19,AA53&lt;51),AND(AC53&gt;5,AA53&gt;50)),"Complexo",""))),
IF(Z53="AIE",IF(OR(AND(OR(AC53=1, AC53=0),AA53&gt;0,AA53&lt;20),AND(OR(AC53=1, AC53=0),AA53&gt;19,AA53&lt;51),AND(AC53&gt;1,AC53&lt;6,AA53&gt;0,AA53&lt;20)),"Simples",IF(OR(AND(OR(AC53=1, AC53=0),AA53&gt;50),AND(AC53&gt;1,AC53&lt;6,AA53&gt;19,AA53&lt;51),AND(AC53&gt;5,AA53&gt;0,AA53&lt;20)),"Médio",IF(OR(AND(AC53&gt;1,AC53&lt;6,AA53&gt;50),AND(AC53&gt;5,AA53&gt;19,AA53&lt;51),AND(AC53&gt;5,AA53&gt;50)),"Complexo",""))),""))</f>
        <v/>
      </c>
      <c r="AG53" s="175" t="str">
        <f t="shared" ref="AG53:AG55" si="65">IF(AE53="",AF53,IF(AF53="",AE53,""))</f>
        <v/>
      </c>
      <c r="AH53" s="176">
        <f t="shared" ref="AH53:AH55" si="66">IF(AND(OR(Z53="EE",Z53="CE"),AG53="Simples"),3,
IF(AND(OR(Z53="EE",Z53="CE"),AG53="Médio"),4,
IF(AND(OR(Z53="EE",Z53="CE"),AG53="Complexo"),6,
IF(AND(Z53="SE",AG53="Simples"),4,
IF(AND(Z53="SE",AG53="Médio"),5,
IF(AND(Z53="SE",AG53="Complexo"),7,0))))))</f>
        <v>0</v>
      </c>
      <c r="AI53" s="176">
        <f t="shared" ref="AI53:AI55" si="67">IF(AND(Z53="ALI",AF53="Simples"),7,
IF(AND(Z53="ALI",AF53="Médio"),10,
IF(AND(Z53="ALI",AF53="Complexo"),15,
IF(AND(Z53="AIE",AF53="Simples"),5,
IF(AND(Z53="AIE",AF53="Médio"),7,
IF(AND(Z53="AIE",AF53="Complexo"),10,0))))))</f>
        <v>0</v>
      </c>
      <c r="AJ53" s="185">
        <f t="shared" ref="AJ53:AJ55" si="68">IF(W53="OK",S53,(
IF(X53&lt;&gt;"Manutenção em interface",IF(X53&lt;&gt;"Desenv., Manutenção e Publicação de Páginas Estáticas",(AH53+AI53)*Y53,Y53),Y53)))</f>
        <v>0</v>
      </c>
      <c r="AK53" s="44"/>
      <c r="AM53" s="44"/>
      <c r="AO53" s="44"/>
      <c r="AP53" s="44" t="str">
        <f t="shared" ref="AP53:AP55" si="69">IF(AJ53=0,"",IF(AJ53=S53,"OK","Divergente"))</f>
        <v/>
      </c>
    </row>
    <row r="54" spans="2:42" s="46" customFormat="1" ht="18.75" customHeight="1">
      <c r="B54" s="226" t="s">
        <v>73</v>
      </c>
      <c r="C54" s="227">
        <f>IF(B54&lt;&gt;"",VLOOKUP(B54,'Tipo Projeto'!$A$3:$B$44,2,0),0)</f>
        <v>1</v>
      </c>
      <c r="D54" s="228" t="s">
        <v>355</v>
      </c>
      <c r="E54" s="236" t="s">
        <v>423</v>
      </c>
      <c r="F54" s="233" t="s">
        <v>416</v>
      </c>
      <c r="G54" s="228" t="s">
        <v>78</v>
      </c>
      <c r="H54" s="229"/>
      <c r="I54" s="230">
        <v>5</v>
      </c>
      <c r="J54" s="225" t="s">
        <v>420</v>
      </c>
      <c r="K54" s="231">
        <v>1</v>
      </c>
      <c r="L54" s="237" t="s">
        <v>315</v>
      </c>
      <c r="M54" s="232" t="str">
        <f t="shared" si="56"/>
        <v>Simples</v>
      </c>
      <c r="N54" s="233" t="str">
        <f t="shared" si="57"/>
        <v/>
      </c>
      <c r="O54" s="234" t="str">
        <f t="shared" si="58"/>
        <v>Simples</v>
      </c>
      <c r="P54" s="235">
        <f t="shared" si="59"/>
        <v>3</v>
      </c>
      <c r="Q54" s="235">
        <f t="shared" si="60"/>
        <v>0</v>
      </c>
      <c r="R54" s="234">
        <f t="shared" si="61"/>
        <v>3</v>
      </c>
      <c r="S54" s="234">
        <f t="shared" si="62"/>
        <v>3</v>
      </c>
      <c r="T54" s="236">
        <v>21</v>
      </c>
      <c r="U54" s="236"/>
      <c r="W54" s="184"/>
      <c r="X54" s="56"/>
      <c r="Y54" s="155">
        <f>IF(X54&lt;&gt;"",VLOOKUP(X54,'Tipo Projeto'!$A$3:$B$44,2,0),0)</f>
        <v>0</v>
      </c>
      <c r="Z54" s="44"/>
      <c r="AA54" s="57"/>
      <c r="AB54" s="170"/>
      <c r="AC54" s="174"/>
      <c r="AD54" s="165"/>
      <c r="AE54" s="171" t="str">
        <f t="shared" si="63"/>
        <v/>
      </c>
      <c r="AF54" s="45" t="str">
        <f t="shared" si="64"/>
        <v/>
      </c>
      <c r="AG54" s="175" t="str">
        <f t="shared" si="65"/>
        <v/>
      </c>
      <c r="AH54" s="176">
        <f t="shared" si="66"/>
        <v>0</v>
      </c>
      <c r="AI54" s="176">
        <f t="shared" si="67"/>
        <v>0</v>
      </c>
      <c r="AJ54" s="185">
        <f t="shared" si="68"/>
        <v>0</v>
      </c>
      <c r="AK54" s="44"/>
      <c r="AM54" s="44"/>
      <c r="AO54" s="44"/>
      <c r="AP54" s="44" t="str">
        <f t="shared" si="69"/>
        <v/>
      </c>
    </row>
    <row r="55" spans="2:42" s="46" customFormat="1" ht="18.75" customHeight="1">
      <c r="B55" s="226" t="s">
        <v>73</v>
      </c>
      <c r="C55" s="227">
        <f>IF(B55&lt;&gt;"",VLOOKUP(B55,'Tipo Projeto'!$A$3:$B$44,2,0),0)</f>
        <v>1</v>
      </c>
      <c r="D55" s="228" t="s">
        <v>355</v>
      </c>
      <c r="E55" s="236" t="s">
        <v>423</v>
      </c>
      <c r="F55" s="233" t="s">
        <v>417</v>
      </c>
      <c r="G55" s="228" t="s">
        <v>79</v>
      </c>
      <c r="H55" s="229"/>
      <c r="I55" s="230">
        <v>10</v>
      </c>
      <c r="J55" s="225" t="s">
        <v>421</v>
      </c>
      <c r="K55" s="231">
        <v>1</v>
      </c>
      <c r="L55" s="237" t="s">
        <v>315</v>
      </c>
      <c r="M55" s="232" t="str">
        <f t="shared" si="56"/>
        <v>Simples</v>
      </c>
      <c r="N55" s="233" t="str">
        <f t="shared" si="57"/>
        <v/>
      </c>
      <c r="O55" s="234" t="str">
        <f t="shared" si="58"/>
        <v>Simples</v>
      </c>
      <c r="P55" s="235">
        <f t="shared" si="59"/>
        <v>3</v>
      </c>
      <c r="Q55" s="235">
        <f t="shared" si="60"/>
        <v>0</v>
      </c>
      <c r="R55" s="234">
        <f t="shared" si="61"/>
        <v>3</v>
      </c>
      <c r="S55" s="234">
        <f t="shared" si="62"/>
        <v>3</v>
      </c>
      <c r="T55" s="236">
        <v>21</v>
      </c>
      <c r="U55" s="236"/>
      <c r="W55" s="184"/>
      <c r="X55" s="56"/>
      <c r="Y55" s="155">
        <f>IF(X55&lt;&gt;"",VLOOKUP(X55,'Tipo Projeto'!$A$3:$B$44,2,0),0)</f>
        <v>0</v>
      </c>
      <c r="Z55" s="44"/>
      <c r="AA55" s="57"/>
      <c r="AB55" s="170"/>
      <c r="AC55" s="174"/>
      <c r="AD55" s="165"/>
      <c r="AE55" s="171" t="str">
        <f t="shared" si="63"/>
        <v/>
      </c>
      <c r="AF55" s="45" t="str">
        <f t="shared" si="64"/>
        <v/>
      </c>
      <c r="AG55" s="175" t="str">
        <f t="shared" si="65"/>
        <v/>
      </c>
      <c r="AH55" s="176">
        <f t="shared" si="66"/>
        <v>0</v>
      </c>
      <c r="AI55" s="176">
        <f t="shared" si="67"/>
        <v>0</v>
      </c>
      <c r="AJ55" s="185">
        <f t="shared" si="68"/>
        <v>0</v>
      </c>
      <c r="AK55" s="44"/>
      <c r="AM55" s="44"/>
      <c r="AO55" s="44"/>
      <c r="AP55" s="44" t="str">
        <f t="shared" si="69"/>
        <v/>
      </c>
    </row>
    <row r="56" spans="2:42" s="46" customFormat="1" ht="18.75" customHeight="1">
      <c r="B56" s="226" t="s">
        <v>73</v>
      </c>
      <c r="C56" s="227">
        <f>IF(B56&lt;&gt;"",VLOOKUP(B56,'Tipo Projeto'!$A$3:$B$44,2,0),0)</f>
        <v>1</v>
      </c>
      <c r="D56" s="228" t="s">
        <v>355</v>
      </c>
      <c r="E56" s="236"/>
      <c r="F56" s="255" t="s">
        <v>369</v>
      </c>
      <c r="G56" s="228" t="s">
        <v>79</v>
      </c>
      <c r="H56" s="229"/>
      <c r="I56" s="230">
        <v>3</v>
      </c>
      <c r="J56" s="225" t="s">
        <v>297</v>
      </c>
      <c r="K56" s="231">
        <v>1</v>
      </c>
      <c r="L56" s="237" t="s">
        <v>75</v>
      </c>
      <c r="M56" s="232" t="str">
        <f t="shared" si="14"/>
        <v>Simples</v>
      </c>
      <c r="N56" s="233" t="str">
        <f t="shared" si="15"/>
        <v/>
      </c>
      <c r="O56" s="234" t="str">
        <f t="shared" si="41"/>
        <v>Simples</v>
      </c>
      <c r="P56" s="235">
        <f t="shared" si="16"/>
        <v>3</v>
      </c>
      <c r="Q56" s="235">
        <f t="shared" si="17"/>
        <v>0</v>
      </c>
      <c r="R56" s="234">
        <f t="shared" si="18"/>
        <v>3</v>
      </c>
      <c r="S56" s="234">
        <f t="shared" si="19"/>
        <v>3</v>
      </c>
      <c r="T56" s="236" t="s">
        <v>362</v>
      </c>
      <c r="U56" s="236"/>
      <c r="W56" s="184"/>
      <c r="X56" s="56"/>
      <c r="Y56" s="155">
        <f>IF(X56&lt;&gt;"",VLOOKUP(X56,'Tipo Projeto'!$A$3:$B$44,2,0),0)</f>
        <v>0</v>
      </c>
      <c r="Z56" s="44"/>
      <c r="AA56" s="57"/>
      <c r="AB56" s="170"/>
      <c r="AC56" s="174"/>
      <c r="AD56" s="165"/>
      <c r="AE56" s="171" t="str">
        <f t="shared" si="20"/>
        <v/>
      </c>
      <c r="AF56" s="45" t="str">
        <f t="shared" si="21"/>
        <v/>
      </c>
      <c r="AG56" s="175" t="str">
        <f t="shared" si="22"/>
        <v/>
      </c>
      <c r="AH56" s="176">
        <f t="shared" si="23"/>
        <v>0</v>
      </c>
      <c r="AI56" s="176">
        <f t="shared" si="24"/>
        <v>0</v>
      </c>
      <c r="AJ56" s="185">
        <f t="shared" si="25"/>
        <v>0</v>
      </c>
      <c r="AK56" s="44"/>
      <c r="AM56" s="44"/>
      <c r="AO56" s="44"/>
      <c r="AP56" s="44" t="str">
        <f t="shared" si="26"/>
        <v/>
      </c>
    </row>
    <row r="57" spans="2:42" s="46" customFormat="1" ht="18.75" customHeight="1">
      <c r="B57" s="226" t="s">
        <v>73</v>
      </c>
      <c r="C57" s="227">
        <f>IF(B57&lt;&gt;"",VLOOKUP(B57,'Tipo Projeto'!$A$3:$B$44,2,0),0)</f>
        <v>1</v>
      </c>
      <c r="D57" s="228" t="s">
        <v>355</v>
      </c>
      <c r="E57" s="236"/>
      <c r="F57" s="255" t="s">
        <v>298</v>
      </c>
      <c r="G57" s="228" t="s">
        <v>78</v>
      </c>
      <c r="H57" s="229"/>
      <c r="I57" s="230">
        <v>3</v>
      </c>
      <c r="J57" s="225" t="s">
        <v>272</v>
      </c>
      <c r="K57" s="231">
        <v>2</v>
      </c>
      <c r="L57" s="237" t="s">
        <v>318</v>
      </c>
      <c r="M57" s="232" t="str">
        <f t="shared" si="14"/>
        <v>Simples</v>
      </c>
      <c r="N57" s="233" t="str">
        <f t="shared" si="15"/>
        <v/>
      </c>
      <c r="O57" s="234" t="str">
        <f t="shared" si="41"/>
        <v>Simples</v>
      </c>
      <c r="P57" s="235">
        <f t="shared" si="16"/>
        <v>3</v>
      </c>
      <c r="Q57" s="235">
        <f t="shared" si="17"/>
        <v>0</v>
      </c>
      <c r="R57" s="234">
        <f t="shared" si="18"/>
        <v>3</v>
      </c>
      <c r="S57" s="234">
        <f t="shared" si="19"/>
        <v>3</v>
      </c>
      <c r="T57" s="236" t="s">
        <v>362</v>
      </c>
      <c r="U57" s="236"/>
      <c r="W57" s="184"/>
      <c r="X57" s="56"/>
      <c r="Y57" s="155">
        <f>IF(X57&lt;&gt;"",VLOOKUP(X57,'Tipo Projeto'!$A$3:$B$44,2,0),0)</f>
        <v>0</v>
      </c>
      <c r="Z57" s="44"/>
      <c r="AA57" s="57"/>
      <c r="AB57" s="170"/>
      <c r="AC57" s="174"/>
      <c r="AD57" s="165"/>
      <c r="AE57" s="171" t="str">
        <f t="shared" si="20"/>
        <v/>
      </c>
      <c r="AF57" s="45" t="str">
        <f t="shared" si="21"/>
        <v/>
      </c>
      <c r="AG57" s="175" t="str">
        <f t="shared" si="22"/>
        <v/>
      </c>
      <c r="AH57" s="176">
        <f t="shared" si="23"/>
        <v>0</v>
      </c>
      <c r="AI57" s="176">
        <f t="shared" si="24"/>
        <v>0</v>
      </c>
      <c r="AJ57" s="185">
        <f t="shared" si="25"/>
        <v>0</v>
      </c>
      <c r="AK57" s="44"/>
      <c r="AM57" s="44"/>
      <c r="AO57" s="44"/>
      <c r="AP57" s="44" t="str">
        <f t="shared" si="26"/>
        <v/>
      </c>
    </row>
    <row r="58" spans="2:42" s="46" customFormat="1" ht="18.75" customHeight="1">
      <c r="B58" s="226" t="s">
        <v>73</v>
      </c>
      <c r="C58" s="227">
        <f>IF(B58&lt;&gt;"",VLOOKUP(B58,'Tipo Projeto'!$A$3:$B$44,2,0),0)</f>
        <v>1</v>
      </c>
      <c r="D58" s="228" t="s">
        <v>355</v>
      </c>
      <c r="E58" s="236"/>
      <c r="F58" s="255" t="s">
        <v>447</v>
      </c>
      <c r="G58" s="228" t="s">
        <v>78</v>
      </c>
      <c r="H58" s="229"/>
      <c r="I58" s="230">
        <v>4</v>
      </c>
      <c r="J58" s="225" t="s">
        <v>250</v>
      </c>
      <c r="K58" s="231">
        <v>2</v>
      </c>
      <c r="L58" s="237" t="s">
        <v>318</v>
      </c>
      <c r="M58" s="232" t="str">
        <f t="shared" ref="M58" si="70">IF(G58="EE",IF(OR(AND(OR(K58=1,K58=0),I58&gt;0,I58&lt;5),AND(OR(K58=1,K58=0),I58&gt;4,I58&lt;16),AND(K58=2,I58&gt;0,I58&lt;5)),"Simples",IF(OR(AND(OR(K58=1,K58=0),I58&gt;15),AND(K58=2,I58&gt;4,I58&lt;16),AND(K58&gt;2,I58&gt;0,I58&lt;5)),"Médio",IF(OR(AND(K58=2,I58&gt;15),AND(K58&gt;2,I58&gt;4,I58&lt;16),AND(K58&gt;2,I58&gt;15)),"Complexo",""))),
IF(OR(G58="CE",G58="SE"),IF(OR(AND(OR(K58=1,K58=0),I58&gt;0,I58&lt;6),AND(OR(K58=1,K58=0),I58&gt;5,I58&lt;20),AND(K58&gt;1,K58&lt;4,I58&gt;0,I58&lt;6)),"Simples",IF(OR(AND(OR(K58=1,K58=0),I58&gt;19),AND(K58&gt;1,K58&lt;4,I58&gt;5,I58&lt;20),AND(K58&gt;3,I58&gt;0,I58&lt;6)),"Médio",IF(OR(AND(K58&gt;1,K58&lt;4,I58&gt;19),AND(K58&gt;3,I58&gt;5,I58&lt;20),AND(K58&gt;3,I58&gt;19)),"Complexo",""))),""))</f>
        <v>Simples</v>
      </c>
      <c r="N58" s="233" t="str">
        <f t="shared" ref="N58" si="71">IF(G58="ALI",IF(OR(AND(OR(K58=1,K58=0),I58&gt;0,I58&lt;20),AND(OR(K58=1,K58=0),I58&gt;19,I58&lt;51),AND(K58&gt;1,K58&lt;6,I58&gt;0,I58&lt;20)),"Simples",IF(OR(AND(OR(K58=1,K58=0),I58&gt;50),AND(K58&gt;1,K58&lt;6,I58&gt;19,I58&lt;51),AND(K58&gt;5,I58&gt;0,I58&lt;20)),"Médio",IF(OR(AND(K58&gt;1,K58&lt;6,I58&gt;50),AND(K58&gt;5,I58&gt;19,I58&lt;51),AND(K58&gt;5,I58&gt;50)),"Complexo",""))),
IF(G58="AIE",IF(OR(AND(OR(K58=1, K58=0),I58&gt;0,I58&lt;20),AND(OR(K58=1, K58=0),I58&gt;19,I58&lt;51),AND(K58&gt;1,K58&lt;6,I58&gt;0,I58&lt;20)),"Simples",IF(OR(AND(OR(K58=1, K58=0),I58&gt;50),AND(K58&gt;1,K58&lt;6,I58&gt;19,I58&lt;51),AND(K58&gt;5,I58&gt;0,I58&lt;20)),"Médio",IF(OR(AND(K58&gt;1,K58&lt;6,I58&gt;50),AND(K58&gt;5,I58&gt;19,I58&lt;51),AND(K58&gt;5,I58&gt;50)),"Complexo",""))),""))</f>
        <v/>
      </c>
      <c r="O58" s="234" t="str">
        <f t="shared" ref="O58" si="72">IF(M58="",N58,IF(N58="",M58,""))</f>
        <v>Simples</v>
      </c>
      <c r="P58" s="235">
        <f t="shared" ref="P58" si="73">IF(AND(OR(G58="EE",G58="CE"),O58="Simples"),3,
IF(AND(OR(G58="EE",G58="CE"),O58="Médio"),4,
IF(AND(OR(G58="EE",G58="CE"),O58="Complexo"),6,
IF(AND(G58="SE",O58="Simples"),4,
IF(AND(G58="SE",O58="Médio"),5,
IF(AND(G58="SE",O58="Complexo"),7,0))))))</f>
        <v>3</v>
      </c>
      <c r="Q58" s="235">
        <f t="shared" ref="Q58" si="74">IF(AND(G58="ALI",N58="Simples"),7,
IF(AND(G58="ALI",N58="Médio"),10,
IF(AND(G58="ALI",N58="Complexo"),15,
IF(AND(G58="AIE",N58="Simples"),5,
IF(AND(G58="AIE",N58="Médio"),7,
IF(AND(G58="AIE",N58="Complexo"),10,0))))))</f>
        <v>0</v>
      </c>
      <c r="R58" s="234">
        <f t="shared" ref="R58" si="75">IF(G58="INM",C58*H58,IF(AND(OR(G58="EE",G58="CE"),O58="Simples"),3,
IF(AND(OR(G58="EE",G58="CE"),O58="Médio"),4,
IF(AND(OR(G58="EE",G58="CE"),O58="Complexo"),6,
IF(AND(G58="SE",O58="Simples"),4,
IF(AND(G58="SE",O58="Médio"),5,
IF(AND(G58="SE",O58="Complexo"),7,
IF(AND(G58="ALI",O58="Médio"),10,
IF(AND(G58="ALI",O58="Simples"),7,
IF(AND(G58="ALI",O58="Complexo"),15,
IF(AND(G58="AIE",O58="Simples"),5,
IF(AND(G58="AIE",O58="Médio"),7,
IF(AND(G58="AIE",O58="Complexo"),10,0))
)))))))))))</f>
        <v>3</v>
      </c>
      <c r="S58" s="234">
        <f t="shared" ref="S58" si="76">IF(G58="INM",C58*H58,IF(B58&lt;&gt;"Manutenção em interface",IF(B58&lt;&gt;"Desenv., Manutenção e Publicação de Páginas Estáticas",(P58+Q58)*C58,C58),C58))</f>
        <v>3</v>
      </c>
      <c r="T58" s="236" t="s">
        <v>362</v>
      </c>
      <c r="U58" s="236"/>
      <c r="W58" s="184"/>
      <c r="X58" s="56"/>
      <c r="Y58" s="155">
        <f>IF(X58&lt;&gt;"",VLOOKUP(X58,'Tipo Projeto'!$A$3:$B$44,2,0),0)</f>
        <v>0</v>
      </c>
      <c r="Z58" s="44"/>
      <c r="AA58" s="57"/>
      <c r="AB58" s="170"/>
      <c r="AC58" s="174"/>
      <c r="AD58" s="165"/>
      <c r="AE58" s="171" t="str">
        <f t="shared" ref="AE58" si="77">IF(Z58="EE",IF(OR(AND(OR(AC58=1,AC58=0),AA58&gt;0,AA58&lt;5),AND(OR(AC58=1,AC58=0),AA58&gt;4,AA58&lt;16),AND(AC58=2,AA58&gt;0,AA58&lt;5)),"Simples",IF(OR(AND(OR(AC58=1,AC58=0),AA58&gt;15),AND(AC58=2,AA58&gt;4,AA58&lt;16),AND(AC58&gt;2,AA58&gt;0,AA58&lt;5)),"Médio",IF(OR(AND(AC58=2,AA58&gt;15),AND(AC58&gt;2,AA58&gt;4,AA58&lt;16),AND(AC58&gt;2,AA58&gt;15)),"Complexo",""))),
IF(OR(Z58="CE",Z58="SE"),IF(OR(AND(OR(AC58=1,AC58=0),AA58&gt;0,AA58&lt;6),AND(OR(AC58=1,AC58=0),AA58&gt;5,AA58&lt;20),AND(AC58&gt;1,AC58&lt;4,AA58&gt;0,AA58&lt;6)),"Simples",IF(OR(AND(OR(AC58=1,AC58=0),AA58&gt;19),AND(AC58&gt;1,AC58&lt;4,AA58&gt;5,AA58&lt;20),AND(AC58&gt;3,AA58&gt;0,AA58&lt;6)),"Médio",IF(OR(AND(AC58&gt;1,AC58&lt;4,AA58&gt;19),AND(AC58&gt;3,AA58&gt;5,AA58&lt;20),AND(AC58&gt;3,AA58&gt;19)),"Complexo",""))),""))</f>
        <v/>
      </c>
      <c r="AF58" s="45" t="str">
        <f t="shared" ref="AF58" si="78">IF(Z58="ALI",IF(OR(AND(OR(AC58=1,AC58=0),AA58&gt;0,AA58&lt;20),AND(OR(AC58=1,AC58=0),AA58&gt;19,AA58&lt;51),AND(AC58&gt;1,AC58&lt;6,AA58&gt;0,AA58&lt;20)),"Simples",IF(OR(AND(OR(AC58=1,AC58=0),AA58&gt;50),AND(AC58&gt;1,AC58&lt;6,AA58&gt;19,AA58&lt;51),AND(AC58&gt;5,AA58&gt;0,AA58&lt;20)),"Médio",IF(OR(AND(AC58&gt;1,AC58&lt;6,AA58&gt;50),AND(AC58&gt;5,AA58&gt;19,AA58&lt;51),AND(AC58&gt;5,AA58&gt;50)),"Complexo",""))),
IF(Z58="AIE",IF(OR(AND(OR(AC58=1, AC58=0),AA58&gt;0,AA58&lt;20),AND(OR(AC58=1, AC58=0),AA58&gt;19,AA58&lt;51),AND(AC58&gt;1,AC58&lt;6,AA58&gt;0,AA58&lt;20)),"Simples",IF(OR(AND(OR(AC58=1, AC58=0),AA58&gt;50),AND(AC58&gt;1,AC58&lt;6,AA58&gt;19,AA58&lt;51),AND(AC58&gt;5,AA58&gt;0,AA58&lt;20)),"Médio",IF(OR(AND(AC58&gt;1,AC58&lt;6,AA58&gt;50),AND(AC58&gt;5,AA58&gt;19,AA58&lt;51),AND(AC58&gt;5,AA58&gt;50)),"Complexo",""))),""))</f>
        <v/>
      </c>
      <c r="AG58" s="175" t="str">
        <f t="shared" ref="AG58" si="79">IF(AE58="",AF58,IF(AF58="",AE58,""))</f>
        <v/>
      </c>
      <c r="AH58" s="176">
        <f t="shared" ref="AH58" si="80">IF(AND(OR(Z58="EE",Z58="CE"),AG58="Simples"),3,
IF(AND(OR(Z58="EE",Z58="CE"),AG58="Médio"),4,
IF(AND(OR(Z58="EE",Z58="CE"),AG58="Complexo"),6,
IF(AND(Z58="SE",AG58="Simples"),4,
IF(AND(Z58="SE",AG58="Médio"),5,
IF(AND(Z58="SE",AG58="Complexo"),7,0))))))</f>
        <v>0</v>
      </c>
      <c r="AI58" s="176">
        <f t="shared" ref="AI58" si="81">IF(AND(Z58="ALI",AF58="Simples"),7,
IF(AND(Z58="ALI",AF58="Médio"),10,
IF(AND(Z58="ALI",AF58="Complexo"),15,
IF(AND(Z58="AIE",AF58="Simples"),5,
IF(AND(Z58="AIE",AF58="Médio"),7,
IF(AND(Z58="AIE",AF58="Complexo"),10,0))))))</f>
        <v>0</v>
      </c>
      <c r="AJ58" s="185">
        <f t="shared" ref="AJ58" si="82">IF(W58="OK",S58,(
IF(X58&lt;&gt;"Manutenção em interface",IF(X58&lt;&gt;"Desenv., Manutenção e Publicação de Páginas Estáticas",(AH58+AI58)*Y58,Y58),Y58)))</f>
        <v>0</v>
      </c>
      <c r="AK58" s="44"/>
      <c r="AM58" s="44"/>
      <c r="AO58" s="44"/>
      <c r="AP58" s="44" t="str">
        <f t="shared" ref="AP58" si="83">IF(AJ58=0,"",IF(AJ58=S58,"OK","Divergente"))</f>
        <v/>
      </c>
    </row>
    <row r="59" spans="2:42" s="46" customFormat="1" ht="18.75" customHeight="1">
      <c r="B59" s="226" t="s">
        <v>73</v>
      </c>
      <c r="C59" s="227">
        <f>IF(B59&lt;&gt;"",VLOOKUP(B59,'Tipo Projeto'!$A$3:$B$44,2,0),0)</f>
        <v>1</v>
      </c>
      <c r="D59" s="228" t="s">
        <v>355</v>
      </c>
      <c r="E59" s="236"/>
      <c r="F59" s="255" t="s">
        <v>299</v>
      </c>
      <c r="G59" s="228" t="s">
        <v>78</v>
      </c>
      <c r="H59" s="229"/>
      <c r="I59" s="230">
        <v>3</v>
      </c>
      <c r="J59" s="225" t="s">
        <v>272</v>
      </c>
      <c r="K59" s="231">
        <v>2</v>
      </c>
      <c r="L59" s="237" t="s">
        <v>319</v>
      </c>
      <c r="M59" s="232" t="str">
        <f t="shared" si="14"/>
        <v>Simples</v>
      </c>
      <c r="N59" s="233" t="str">
        <f t="shared" si="15"/>
        <v/>
      </c>
      <c r="O59" s="234" t="str">
        <f t="shared" si="41"/>
        <v>Simples</v>
      </c>
      <c r="P59" s="235">
        <f t="shared" si="16"/>
        <v>3</v>
      </c>
      <c r="Q59" s="235">
        <f t="shared" si="17"/>
        <v>0</v>
      </c>
      <c r="R59" s="234">
        <f t="shared" si="18"/>
        <v>3</v>
      </c>
      <c r="S59" s="234">
        <f t="shared" si="19"/>
        <v>3</v>
      </c>
      <c r="T59" s="236" t="s">
        <v>362</v>
      </c>
      <c r="U59" s="236"/>
      <c r="W59" s="184"/>
      <c r="X59" s="56"/>
      <c r="Y59" s="155">
        <f>IF(X59&lt;&gt;"",VLOOKUP(X59,'Tipo Projeto'!$A$3:$B$44,2,0),0)</f>
        <v>0</v>
      </c>
      <c r="Z59" s="44"/>
      <c r="AA59" s="57"/>
      <c r="AB59" s="170"/>
      <c r="AC59" s="174"/>
      <c r="AD59" s="165"/>
      <c r="AE59" s="171" t="str">
        <f t="shared" si="20"/>
        <v/>
      </c>
      <c r="AF59" s="45" t="str">
        <f t="shared" si="21"/>
        <v/>
      </c>
      <c r="AG59" s="175" t="str">
        <f t="shared" si="22"/>
        <v/>
      </c>
      <c r="AH59" s="176">
        <f t="shared" si="23"/>
        <v>0</v>
      </c>
      <c r="AI59" s="176">
        <f t="shared" si="24"/>
        <v>0</v>
      </c>
      <c r="AJ59" s="185">
        <f t="shared" si="25"/>
        <v>0</v>
      </c>
      <c r="AK59" s="44"/>
      <c r="AM59" s="44"/>
      <c r="AO59" s="44"/>
      <c r="AP59" s="44" t="str">
        <f t="shared" si="26"/>
        <v/>
      </c>
    </row>
    <row r="60" spans="2:42" s="46" customFormat="1" ht="18.75" customHeight="1">
      <c r="B60" s="226" t="s">
        <v>73</v>
      </c>
      <c r="C60" s="227">
        <f>IF(B60&lt;&gt;"",VLOOKUP(B60,'Tipo Projeto'!$A$3:$B$44,2,0),0)</f>
        <v>1</v>
      </c>
      <c r="D60" s="228" t="s">
        <v>355</v>
      </c>
      <c r="E60" s="236"/>
      <c r="F60" s="255" t="s">
        <v>448</v>
      </c>
      <c r="G60" s="228" t="s">
        <v>78</v>
      </c>
      <c r="H60" s="229"/>
      <c r="I60" s="230">
        <v>7</v>
      </c>
      <c r="J60" s="225" t="s">
        <v>449</v>
      </c>
      <c r="K60" s="231">
        <v>2</v>
      </c>
      <c r="L60" s="237" t="s">
        <v>319</v>
      </c>
      <c r="M60" s="232" t="str">
        <f t="shared" ref="M60" si="84">IF(G60="EE",IF(OR(AND(OR(K60=1,K60=0),I60&gt;0,I60&lt;5),AND(OR(K60=1,K60=0),I60&gt;4,I60&lt;16),AND(K60=2,I60&gt;0,I60&lt;5)),"Simples",IF(OR(AND(OR(K60=1,K60=0),I60&gt;15),AND(K60=2,I60&gt;4,I60&lt;16),AND(K60&gt;2,I60&gt;0,I60&lt;5)),"Médio",IF(OR(AND(K60=2,I60&gt;15),AND(K60&gt;2,I60&gt;4,I60&lt;16),AND(K60&gt;2,I60&gt;15)),"Complexo",""))),
IF(OR(G60="CE",G60="SE"),IF(OR(AND(OR(K60=1,K60=0),I60&gt;0,I60&lt;6),AND(OR(K60=1,K60=0),I60&gt;5,I60&lt;20),AND(K60&gt;1,K60&lt;4,I60&gt;0,I60&lt;6)),"Simples",IF(OR(AND(OR(K60=1,K60=0),I60&gt;19),AND(K60&gt;1,K60&lt;4,I60&gt;5,I60&lt;20),AND(K60&gt;3,I60&gt;0,I60&lt;6)),"Médio",IF(OR(AND(K60&gt;1,K60&lt;4,I60&gt;19),AND(K60&gt;3,I60&gt;5,I60&lt;20),AND(K60&gt;3,I60&gt;19)),"Complexo",""))),""))</f>
        <v>Médio</v>
      </c>
      <c r="N60" s="233" t="str">
        <f t="shared" ref="N60" si="85">IF(G60="ALI",IF(OR(AND(OR(K60=1,K60=0),I60&gt;0,I60&lt;20),AND(OR(K60=1,K60=0),I60&gt;19,I60&lt;51),AND(K60&gt;1,K60&lt;6,I60&gt;0,I60&lt;20)),"Simples",IF(OR(AND(OR(K60=1,K60=0),I60&gt;50),AND(K60&gt;1,K60&lt;6,I60&gt;19,I60&lt;51),AND(K60&gt;5,I60&gt;0,I60&lt;20)),"Médio",IF(OR(AND(K60&gt;1,K60&lt;6,I60&gt;50),AND(K60&gt;5,I60&gt;19,I60&lt;51),AND(K60&gt;5,I60&gt;50)),"Complexo",""))),
IF(G60="AIE",IF(OR(AND(OR(K60=1, K60=0),I60&gt;0,I60&lt;20),AND(OR(K60=1, K60=0),I60&gt;19,I60&lt;51),AND(K60&gt;1,K60&lt;6,I60&gt;0,I60&lt;20)),"Simples",IF(OR(AND(OR(K60=1, K60=0),I60&gt;50),AND(K60&gt;1,K60&lt;6,I60&gt;19,I60&lt;51),AND(K60&gt;5,I60&gt;0,I60&lt;20)),"Médio",IF(OR(AND(K60&gt;1,K60&lt;6,I60&gt;50),AND(K60&gt;5,I60&gt;19,I60&lt;51),AND(K60&gt;5,I60&gt;50)),"Complexo",""))),""))</f>
        <v/>
      </c>
      <c r="O60" s="234" t="str">
        <f t="shared" ref="O60" si="86">IF(M60="",N60,IF(N60="",M60,""))</f>
        <v>Médio</v>
      </c>
      <c r="P60" s="235">
        <f t="shared" ref="P60" si="87">IF(AND(OR(G60="EE",G60="CE"),O60="Simples"),3,
IF(AND(OR(G60="EE",G60="CE"),O60="Médio"),4,
IF(AND(OR(G60="EE",G60="CE"),O60="Complexo"),6,
IF(AND(G60="SE",O60="Simples"),4,
IF(AND(G60="SE",O60="Médio"),5,
IF(AND(G60="SE",O60="Complexo"),7,0))))))</f>
        <v>4</v>
      </c>
      <c r="Q60" s="235">
        <f t="shared" ref="Q60" si="88">IF(AND(G60="ALI",N60="Simples"),7,
IF(AND(G60="ALI",N60="Médio"),10,
IF(AND(G60="ALI",N60="Complexo"),15,
IF(AND(G60="AIE",N60="Simples"),5,
IF(AND(G60="AIE",N60="Médio"),7,
IF(AND(G60="AIE",N60="Complexo"),10,0))))))</f>
        <v>0</v>
      </c>
      <c r="R60" s="234">
        <f t="shared" ref="R60" si="89">IF(G60="INM",C60*H60,IF(AND(OR(G60="EE",G60="CE"),O60="Simples"),3,
IF(AND(OR(G60="EE",G60="CE"),O60="Médio"),4,
IF(AND(OR(G60="EE",G60="CE"),O60="Complexo"),6,
IF(AND(G60="SE",O60="Simples"),4,
IF(AND(G60="SE",O60="Médio"),5,
IF(AND(G60="SE",O60="Complexo"),7,
IF(AND(G60="ALI",O60="Médio"),10,
IF(AND(G60="ALI",O60="Simples"),7,
IF(AND(G60="ALI",O60="Complexo"),15,
IF(AND(G60="AIE",O60="Simples"),5,
IF(AND(G60="AIE",O60="Médio"),7,
IF(AND(G60="AIE",O60="Complexo"),10,0))
)))))))))))</f>
        <v>4</v>
      </c>
      <c r="S60" s="234">
        <f t="shared" ref="S60" si="90">IF(G60="INM",C60*H60,IF(B60&lt;&gt;"Manutenção em interface",IF(B60&lt;&gt;"Desenv., Manutenção e Publicação de Páginas Estáticas",(P60+Q60)*C60,C60),C60))</f>
        <v>4</v>
      </c>
      <c r="T60" s="236" t="s">
        <v>362</v>
      </c>
      <c r="U60" s="236"/>
      <c r="W60" s="184"/>
      <c r="X60" s="56"/>
      <c r="Y60" s="155">
        <f>IF(X60&lt;&gt;"",VLOOKUP(X60,'Tipo Projeto'!$A$3:$B$44,2,0),0)</f>
        <v>0</v>
      </c>
      <c r="Z60" s="44"/>
      <c r="AA60" s="57"/>
      <c r="AB60" s="170"/>
      <c r="AC60" s="174"/>
      <c r="AD60" s="165"/>
      <c r="AE60" s="171" t="str">
        <f t="shared" ref="AE60" si="91">IF(Z60="EE",IF(OR(AND(OR(AC60=1,AC60=0),AA60&gt;0,AA60&lt;5),AND(OR(AC60=1,AC60=0),AA60&gt;4,AA60&lt;16),AND(AC60=2,AA60&gt;0,AA60&lt;5)),"Simples",IF(OR(AND(OR(AC60=1,AC60=0),AA60&gt;15),AND(AC60=2,AA60&gt;4,AA60&lt;16),AND(AC60&gt;2,AA60&gt;0,AA60&lt;5)),"Médio",IF(OR(AND(AC60=2,AA60&gt;15),AND(AC60&gt;2,AA60&gt;4,AA60&lt;16),AND(AC60&gt;2,AA60&gt;15)),"Complexo",""))),
IF(OR(Z60="CE",Z60="SE"),IF(OR(AND(OR(AC60=1,AC60=0),AA60&gt;0,AA60&lt;6),AND(OR(AC60=1,AC60=0),AA60&gt;5,AA60&lt;20),AND(AC60&gt;1,AC60&lt;4,AA60&gt;0,AA60&lt;6)),"Simples",IF(OR(AND(OR(AC60=1,AC60=0),AA60&gt;19),AND(AC60&gt;1,AC60&lt;4,AA60&gt;5,AA60&lt;20),AND(AC60&gt;3,AA60&gt;0,AA60&lt;6)),"Médio",IF(OR(AND(AC60&gt;1,AC60&lt;4,AA60&gt;19),AND(AC60&gt;3,AA60&gt;5,AA60&lt;20),AND(AC60&gt;3,AA60&gt;19)),"Complexo",""))),""))</f>
        <v/>
      </c>
      <c r="AF60" s="45" t="str">
        <f t="shared" ref="AF60" si="92">IF(Z60="ALI",IF(OR(AND(OR(AC60=1,AC60=0),AA60&gt;0,AA60&lt;20),AND(OR(AC60=1,AC60=0),AA60&gt;19,AA60&lt;51),AND(AC60&gt;1,AC60&lt;6,AA60&gt;0,AA60&lt;20)),"Simples",IF(OR(AND(OR(AC60=1,AC60=0),AA60&gt;50),AND(AC60&gt;1,AC60&lt;6,AA60&gt;19,AA60&lt;51),AND(AC60&gt;5,AA60&gt;0,AA60&lt;20)),"Médio",IF(OR(AND(AC60&gt;1,AC60&lt;6,AA60&gt;50),AND(AC60&gt;5,AA60&gt;19,AA60&lt;51),AND(AC60&gt;5,AA60&gt;50)),"Complexo",""))),
IF(Z60="AIE",IF(OR(AND(OR(AC60=1, AC60=0),AA60&gt;0,AA60&lt;20),AND(OR(AC60=1, AC60=0),AA60&gt;19,AA60&lt;51),AND(AC60&gt;1,AC60&lt;6,AA60&gt;0,AA60&lt;20)),"Simples",IF(OR(AND(OR(AC60=1, AC60=0),AA60&gt;50),AND(AC60&gt;1,AC60&lt;6,AA60&gt;19,AA60&lt;51),AND(AC60&gt;5,AA60&gt;0,AA60&lt;20)),"Médio",IF(OR(AND(AC60&gt;1,AC60&lt;6,AA60&gt;50),AND(AC60&gt;5,AA60&gt;19,AA60&lt;51),AND(AC60&gt;5,AA60&gt;50)),"Complexo",""))),""))</f>
        <v/>
      </c>
      <c r="AG60" s="175" t="str">
        <f t="shared" ref="AG60" si="93">IF(AE60="",AF60,IF(AF60="",AE60,""))</f>
        <v/>
      </c>
      <c r="AH60" s="176">
        <f t="shared" ref="AH60" si="94">IF(AND(OR(Z60="EE",Z60="CE"),AG60="Simples"),3,
IF(AND(OR(Z60="EE",Z60="CE"),AG60="Médio"),4,
IF(AND(OR(Z60="EE",Z60="CE"),AG60="Complexo"),6,
IF(AND(Z60="SE",AG60="Simples"),4,
IF(AND(Z60="SE",AG60="Médio"),5,
IF(AND(Z60="SE",AG60="Complexo"),7,0))))))</f>
        <v>0</v>
      </c>
      <c r="AI60" s="176">
        <f t="shared" ref="AI60" si="95">IF(AND(Z60="ALI",AF60="Simples"),7,
IF(AND(Z60="ALI",AF60="Médio"),10,
IF(AND(Z60="ALI",AF60="Complexo"),15,
IF(AND(Z60="AIE",AF60="Simples"),5,
IF(AND(Z60="AIE",AF60="Médio"),7,
IF(AND(Z60="AIE",AF60="Complexo"),10,0))))))</f>
        <v>0</v>
      </c>
      <c r="AJ60" s="185">
        <f t="shared" ref="AJ60" si="96">IF(W60="OK",S60,(
IF(X60&lt;&gt;"Manutenção em interface",IF(X60&lt;&gt;"Desenv., Manutenção e Publicação de Páginas Estáticas",(AH60+AI60)*Y60,Y60),Y60)))</f>
        <v>0</v>
      </c>
      <c r="AK60" s="44"/>
      <c r="AM60" s="44"/>
      <c r="AO60" s="44"/>
      <c r="AP60" s="44" t="str">
        <f t="shared" ref="AP60" si="97">IF(AJ60=0,"",IF(AJ60=S60,"OK","Divergente"))</f>
        <v/>
      </c>
    </row>
    <row r="61" spans="2:42" s="46" customFormat="1" ht="18.75" customHeight="1">
      <c r="B61" s="226" t="s">
        <v>73</v>
      </c>
      <c r="C61" s="227">
        <f>IF(B61&lt;&gt;"",VLOOKUP(B61,'Tipo Projeto'!$A$3:$B$44,2,0),0)</f>
        <v>1</v>
      </c>
      <c r="D61" s="228" t="s">
        <v>355</v>
      </c>
      <c r="E61" s="236"/>
      <c r="F61" s="255" t="s">
        <v>370</v>
      </c>
      <c r="G61" s="228" t="s">
        <v>79</v>
      </c>
      <c r="H61" s="229"/>
      <c r="I61" s="230">
        <v>2</v>
      </c>
      <c r="J61" s="225" t="s">
        <v>317</v>
      </c>
      <c r="K61" s="231">
        <v>1</v>
      </c>
      <c r="L61" s="237" t="s">
        <v>76</v>
      </c>
      <c r="M61" s="232" t="str">
        <f t="shared" ref="M61" si="98">IF(G61="EE",IF(OR(AND(OR(K61=1,K61=0),I61&gt;0,I61&lt;5),AND(OR(K61=1,K61=0),I61&gt;4,I61&lt;16),AND(K61=2,I61&gt;0,I61&lt;5)),"Simples",IF(OR(AND(OR(K61=1,K61=0),I61&gt;15),AND(K61=2,I61&gt;4,I61&lt;16),AND(K61&gt;2,I61&gt;0,I61&lt;5)),"Médio",IF(OR(AND(K61=2,I61&gt;15),AND(K61&gt;2,I61&gt;4,I61&lt;16),AND(K61&gt;2,I61&gt;15)),"Complexo",""))),
IF(OR(G61="CE",G61="SE"),IF(OR(AND(OR(K61=1,K61=0),I61&gt;0,I61&lt;6),AND(OR(K61=1,K61=0),I61&gt;5,I61&lt;20),AND(K61&gt;1,K61&lt;4,I61&gt;0,I61&lt;6)),"Simples",IF(OR(AND(OR(K61=1,K61=0),I61&gt;19),AND(K61&gt;1,K61&lt;4,I61&gt;5,I61&lt;20),AND(K61&gt;3,I61&gt;0,I61&lt;6)),"Médio",IF(OR(AND(K61&gt;1,K61&lt;4,I61&gt;19),AND(K61&gt;3,I61&gt;5,I61&lt;20),AND(K61&gt;3,I61&gt;19)),"Complexo",""))),""))</f>
        <v>Simples</v>
      </c>
      <c r="N61" s="233" t="str">
        <f t="shared" ref="N61" si="99">IF(G61="ALI",IF(OR(AND(OR(K61=1,K61=0),I61&gt;0,I61&lt;20),AND(OR(K61=1,K61=0),I61&gt;19,I61&lt;51),AND(K61&gt;1,K61&lt;6,I61&gt;0,I61&lt;20)),"Simples",IF(OR(AND(OR(K61=1,K61=0),I61&gt;50),AND(K61&gt;1,K61&lt;6,I61&gt;19,I61&lt;51),AND(K61&gt;5,I61&gt;0,I61&lt;20)),"Médio",IF(OR(AND(K61&gt;1,K61&lt;6,I61&gt;50),AND(K61&gt;5,I61&gt;19,I61&lt;51),AND(K61&gt;5,I61&gt;50)),"Complexo",""))),
IF(G61="AIE",IF(OR(AND(OR(K61=1, K61=0),I61&gt;0,I61&lt;20),AND(OR(K61=1, K61=0),I61&gt;19,I61&lt;51),AND(K61&gt;1,K61&lt;6,I61&gt;0,I61&lt;20)),"Simples",IF(OR(AND(OR(K61=1, K61=0),I61&gt;50),AND(K61&gt;1,K61&lt;6,I61&gt;19,I61&lt;51),AND(K61&gt;5,I61&gt;0,I61&lt;20)),"Médio",IF(OR(AND(K61&gt;1,K61&lt;6,I61&gt;50),AND(K61&gt;5,I61&gt;19,I61&lt;51),AND(K61&gt;5,I61&gt;50)),"Complexo",""))),""))</f>
        <v/>
      </c>
      <c r="O61" s="234" t="str">
        <f t="shared" ref="O61" si="100">IF(M61="",N61,IF(N61="",M61,""))</f>
        <v>Simples</v>
      </c>
      <c r="P61" s="235">
        <f t="shared" ref="P61" si="101">IF(AND(OR(G61="EE",G61="CE"),O61="Simples"),3,
IF(AND(OR(G61="EE",G61="CE"),O61="Médio"),4,
IF(AND(OR(G61="EE",G61="CE"),O61="Complexo"),6,
IF(AND(G61="SE",O61="Simples"),4,
IF(AND(G61="SE",O61="Médio"),5,
IF(AND(G61="SE",O61="Complexo"),7,0))))))</f>
        <v>3</v>
      </c>
      <c r="Q61" s="235">
        <f t="shared" ref="Q61" si="102">IF(AND(G61="ALI",N61="Simples"),7,
IF(AND(G61="ALI",N61="Médio"),10,
IF(AND(G61="ALI",N61="Complexo"),15,
IF(AND(G61="AIE",N61="Simples"),5,
IF(AND(G61="AIE",N61="Médio"),7,
IF(AND(G61="AIE",N61="Complexo"),10,0))))))</f>
        <v>0</v>
      </c>
      <c r="R61" s="234">
        <f t="shared" ref="R61" si="103">IF(G61="INM",C61*H61,IF(AND(OR(G61="EE",G61="CE"),O61="Simples"),3,
IF(AND(OR(G61="EE",G61="CE"),O61="Médio"),4,
IF(AND(OR(G61="EE",G61="CE"),O61="Complexo"),6,
IF(AND(G61="SE",O61="Simples"),4,
IF(AND(G61="SE",O61="Médio"),5,
IF(AND(G61="SE",O61="Complexo"),7,
IF(AND(G61="ALI",O61="Médio"),10,
IF(AND(G61="ALI",O61="Simples"),7,
IF(AND(G61="ALI",O61="Complexo"),15,
IF(AND(G61="AIE",O61="Simples"),5,
IF(AND(G61="AIE",O61="Médio"),7,
IF(AND(G61="AIE",O61="Complexo"),10,0))
)))))))))))</f>
        <v>3</v>
      </c>
      <c r="S61" s="234">
        <f t="shared" ref="S61" si="104">IF(G61="INM",C61*H61,IF(B61&lt;&gt;"Manutenção em interface",IF(B61&lt;&gt;"Desenv., Manutenção e Publicação de Páginas Estáticas",(P61+Q61)*C61,C61),C61))</f>
        <v>3</v>
      </c>
      <c r="T61" s="236" t="s">
        <v>362</v>
      </c>
      <c r="U61" s="236"/>
      <c r="W61" s="184"/>
      <c r="X61" s="56"/>
      <c r="Y61" s="155">
        <f>IF(X61&lt;&gt;"",VLOOKUP(X61,'Tipo Projeto'!$A$3:$B$44,2,0),0)</f>
        <v>0</v>
      </c>
      <c r="Z61" s="44"/>
      <c r="AA61" s="57"/>
      <c r="AB61" s="170"/>
      <c r="AC61" s="174"/>
      <c r="AD61" s="165"/>
      <c r="AE61" s="171" t="str">
        <f t="shared" ref="AE61" si="105">IF(Z61="EE",IF(OR(AND(OR(AC61=1,AC61=0),AA61&gt;0,AA61&lt;5),AND(OR(AC61=1,AC61=0),AA61&gt;4,AA61&lt;16),AND(AC61=2,AA61&gt;0,AA61&lt;5)),"Simples",IF(OR(AND(OR(AC61=1,AC61=0),AA61&gt;15),AND(AC61=2,AA61&gt;4,AA61&lt;16),AND(AC61&gt;2,AA61&gt;0,AA61&lt;5)),"Médio",IF(OR(AND(AC61=2,AA61&gt;15),AND(AC61&gt;2,AA61&gt;4,AA61&lt;16),AND(AC61&gt;2,AA61&gt;15)),"Complexo",""))),
IF(OR(Z61="CE",Z61="SE"),IF(OR(AND(OR(AC61=1,AC61=0),AA61&gt;0,AA61&lt;6),AND(OR(AC61=1,AC61=0),AA61&gt;5,AA61&lt;20),AND(AC61&gt;1,AC61&lt;4,AA61&gt;0,AA61&lt;6)),"Simples",IF(OR(AND(OR(AC61=1,AC61=0),AA61&gt;19),AND(AC61&gt;1,AC61&lt;4,AA61&gt;5,AA61&lt;20),AND(AC61&gt;3,AA61&gt;0,AA61&lt;6)),"Médio",IF(OR(AND(AC61&gt;1,AC61&lt;4,AA61&gt;19),AND(AC61&gt;3,AA61&gt;5,AA61&lt;20),AND(AC61&gt;3,AA61&gt;19)),"Complexo",""))),""))</f>
        <v/>
      </c>
      <c r="AF61" s="45" t="str">
        <f t="shared" ref="AF61" si="106">IF(Z61="ALI",IF(OR(AND(OR(AC61=1,AC61=0),AA61&gt;0,AA61&lt;20),AND(OR(AC61=1,AC61=0),AA61&gt;19,AA61&lt;51),AND(AC61&gt;1,AC61&lt;6,AA61&gt;0,AA61&lt;20)),"Simples",IF(OR(AND(OR(AC61=1,AC61=0),AA61&gt;50),AND(AC61&gt;1,AC61&lt;6,AA61&gt;19,AA61&lt;51),AND(AC61&gt;5,AA61&gt;0,AA61&lt;20)),"Médio",IF(OR(AND(AC61&gt;1,AC61&lt;6,AA61&gt;50),AND(AC61&gt;5,AA61&gt;19,AA61&lt;51),AND(AC61&gt;5,AA61&gt;50)),"Complexo",""))),
IF(Z61="AIE",IF(OR(AND(OR(AC61=1, AC61=0),AA61&gt;0,AA61&lt;20),AND(OR(AC61=1, AC61=0),AA61&gt;19,AA61&lt;51),AND(AC61&gt;1,AC61&lt;6,AA61&gt;0,AA61&lt;20)),"Simples",IF(OR(AND(OR(AC61=1, AC61=0),AA61&gt;50),AND(AC61&gt;1,AC61&lt;6,AA61&gt;19,AA61&lt;51),AND(AC61&gt;5,AA61&gt;0,AA61&lt;20)),"Médio",IF(OR(AND(AC61&gt;1,AC61&lt;6,AA61&gt;50),AND(AC61&gt;5,AA61&gt;19,AA61&lt;51),AND(AC61&gt;5,AA61&gt;50)),"Complexo",""))),""))</f>
        <v/>
      </c>
      <c r="AG61" s="175" t="str">
        <f t="shared" ref="AG61" si="107">IF(AE61="",AF61,IF(AF61="",AE61,""))</f>
        <v/>
      </c>
      <c r="AH61" s="176">
        <f t="shared" ref="AH61" si="108">IF(AND(OR(Z61="EE",Z61="CE"),AG61="Simples"),3,
IF(AND(OR(Z61="EE",Z61="CE"),AG61="Médio"),4,
IF(AND(OR(Z61="EE",Z61="CE"),AG61="Complexo"),6,
IF(AND(Z61="SE",AG61="Simples"),4,
IF(AND(Z61="SE",AG61="Médio"),5,
IF(AND(Z61="SE",AG61="Complexo"),7,0))))))</f>
        <v>0</v>
      </c>
      <c r="AI61" s="176">
        <f t="shared" ref="AI61" si="109">IF(AND(Z61="ALI",AF61="Simples"),7,
IF(AND(Z61="ALI",AF61="Médio"),10,
IF(AND(Z61="ALI",AF61="Complexo"),15,
IF(AND(Z61="AIE",AF61="Simples"),5,
IF(AND(Z61="AIE",AF61="Médio"),7,
IF(AND(Z61="AIE",AF61="Complexo"),10,0))))))</f>
        <v>0</v>
      </c>
      <c r="AJ61" s="185">
        <f t="shared" ref="AJ61" si="110">IF(W61="OK",S61,(
IF(X61&lt;&gt;"Manutenção em interface",IF(X61&lt;&gt;"Desenv., Manutenção e Publicação de Páginas Estáticas",(AH61+AI61)*Y61,Y61),Y61)))</f>
        <v>0</v>
      </c>
      <c r="AK61" s="44"/>
      <c r="AM61" s="44"/>
      <c r="AO61" s="44"/>
      <c r="AP61" s="44" t="str">
        <f t="shared" ref="AP61" si="111">IF(AJ61=0,"",IF(AJ61=S61,"OK","Divergente"))</f>
        <v/>
      </c>
    </row>
    <row r="62" spans="2:42" s="46" customFormat="1" ht="18.75" customHeight="1">
      <c r="B62" s="226" t="s">
        <v>73</v>
      </c>
      <c r="C62" s="227">
        <f>IF(B62&lt;&gt;"",VLOOKUP(B62,'Tipo Projeto'!$A$3:$B$44,2,0),0)</f>
        <v>1</v>
      </c>
      <c r="D62" s="228" t="s">
        <v>355</v>
      </c>
      <c r="E62" s="236"/>
      <c r="F62" s="233" t="s">
        <v>300</v>
      </c>
      <c r="G62" s="228" t="s">
        <v>78</v>
      </c>
      <c r="H62" s="229"/>
      <c r="I62" s="230">
        <v>3</v>
      </c>
      <c r="J62" s="225" t="s">
        <v>446</v>
      </c>
      <c r="K62" s="231">
        <v>4</v>
      </c>
      <c r="L62" s="237" t="s">
        <v>450</v>
      </c>
      <c r="M62" s="232" t="str">
        <f t="shared" si="14"/>
        <v>Médio</v>
      </c>
      <c r="N62" s="233" t="str">
        <f t="shared" si="15"/>
        <v/>
      </c>
      <c r="O62" s="234" t="str">
        <f t="shared" si="41"/>
        <v>Médio</v>
      </c>
      <c r="P62" s="235">
        <f t="shared" si="16"/>
        <v>4</v>
      </c>
      <c r="Q62" s="235">
        <f t="shared" si="17"/>
        <v>0</v>
      </c>
      <c r="R62" s="234">
        <f t="shared" si="18"/>
        <v>4</v>
      </c>
      <c r="S62" s="234">
        <f t="shared" si="19"/>
        <v>4</v>
      </c>
      <c r="T62" s="236" t="s">
        <v>362</v>
      </c>
      <c r="U62" s="236"/>
      <c r="W62" s="184"/>
      <c r="X62" s="56"/>
      <c r="Y62" s="155">
        <f>IF(X62&lt;&gt;"",VLOOKUP(X62,'Tipo Projeto'!$A$3:$B$44,2,0),0)</f>
        <v>0</v>
      </c>
      <c r="Z62" s="44"/>
      <c r="AA62" s="57"/>
      <c r="AB62" s="170"/>
      <c r="AC62" s="174"/>
      <c r="AD62" s="165"/>
      <c r="AE62" s="171" t="str">
        <f t="shared" si="20"/>
        <v/>
      </c>
      <c r="AF62" s="45" t="str">
        <f t="shared" si="21"/>
        <v/>
      </c>
      <c r="AG62" s="175" t="str">
        <f t="shared" si="22"/>
        <v/>
      </c>
      <c r="AH62" s="176">
        <f t="shared" si="23"/>
        <v>0</v>
      </c>
      <c r="AI62" s="176">
        <f t="shared" si="24"/>
        <v>0</v>
      </c>
      <c r="AJ62" s="185">
        <f t="shared" si="25"/>
        <v>0</v>
      </c>
      <c r="AK62" s="44"/>
      <c r="AM62" s="44"/>
      <c r="AO62" s="44"/>
      <c r="AP62" s="44" t="str">
        <f t="shared" si="26"/>
        <v/>
      </c>
    </row>
    <row r="63" spans="2:42" s="46" customFormat="1" ht="18.75" customHeight="1">
      <c r="B63" s="226" t="s">
        <v>73</v>
      </c>
      <c r="C63" s="227">
        <f>IF(B63&lt;&gt;"",VLOOKUP(B63,'Tipo Projeto'!$A$3:$B$44,2,0),0)</f>
        <v>1</v>
      </c>
      <c r="D63" s="228" t="s">
        <v>355</v>
      </c>
      <c r="E63" s="236"/>
      <c r="F63" s="233" t="s">
        <v>301</v>
      </c>
      <c r="G63" s="228" t="s">
        <v>78</v>
      </c>
      <c r="H63" s="229"/>
      <c r="I63" s="230">
        <v>3</v>
      </c>
      <c r="J63" s="225" t="s">
        <v>272</v>
      </c>
      <c r="K63" s="231">
        <v>1</v>
      </c>
      <c r="L63" s="237" t="s">
        <v>75</v>
      </c>
      <c r="M63" s="232" t="str">
        <f t="shared" si="14"/>
        <v>Simples</v>
      </c>
      <c r="N63" s="233" t="str">
        <f t="shared" si="15"/>
        <v/>
      </c>
      <c r="O63" s="234" t="str">
        <f t="shared" si="41"/>
        <v>Simples</v>
      </c>
      <c r="P63" s="235">
        <f t="shared" si="16"/>
        <v>3</v>
      </c>
      <c r="Q63" s="235">
        <f t="shared" si="17"/>
        <v>0</v>
      </c>
      <c r="R63" s="234">
        <f t="shared" si="18"/>
        <v>3</v>
      </c>
      <c r="S63" s="234">
        <f t="shared" si="19"/>
        <v>3</v>
      </c>
      <c r="T63" s="236" t="s">
        <v>362</v>
      </c>
      <c r="U63" s="236"/>
      <c r="W63" s="184"/>
      <c r="X63" s="56"/>
      <c r="Y63" s="155">
        <f>IF(X63&lt;&gt;"",VLOOKUP(X63,'Tipo Projeto'!$A$3:$B$44,2,0),0)</f>
        <v>0</v>
      </c>
      <c r="Z63" s="44"/>
      <c r="AA63" s="57"/>
      <c r="AB63" s="170"/>
      <c r="AC63" s="174"/>
      <c r="AD63" s="165"/>
      <c r="AE63" s="171" t="str">
        <f t="shared" si="20"/>
        <v/>
      </c>
      <c r="AF63" s="45" t="str">
        <f t="shared" si="21"/>
        <v/>
      </c>
      <c r="AG63" s="175" t="str">
        <f t="shared" si="22"/>
        <v/>
      </c>
      <c r="AH63" s="176">
        <f t="shared" si="23"/>
        <v>0</v>
      </c>
      <c r="AI63" s="176">
        <f t="shared" si="24"/>
        <v>0</v>
      </c>
      <c r="AJ63" s="185">
        <f t="shared" si="25"/>
        <v>0</v>
      </c>
      <c r="AK63" s="44"/>
      <c r="AM63" s="44"/>
      <c r="AO63" s="44"/>
      <c r="AP63" s="44" t="str">
        <f t="shared" si="26"/>
        <v/>
      </c>
    </row>
    <row r="64" spans="2:42" s="46" customFormat="1" ht="18.75" customHeight="1">
      <c r="B64" s="226" t="s">
        <v>73</v>
      </c>
      <c r="C64" s="227">
        <f>IF(B64&lt;&gt;"",VLOOKUP(B64,'Tipo Projeto'!$A$3:$B$44,2,0),0)</f>
        <v>1</v>
      </c>
      <c r="D64" s="228" t="s">
        <v>355</v>
      </c>
      <c r="E64" s="236"/>
      <c r="F64" s="233" t="s">
        <v>302</v>
      </c>
      <c r="G64" s="228" t="s">
        <v>78</v>
      </c>
      <c r="H64" s="229"/>
      <c r="I64" s="230">
        <v>3</v>
      </c>
      <c r="J64" s="225" t="s">
        <v>272</v>
      </c>
      <c r="K64" s="231">
        <v>4</v>
      </c>
      <c r="L64" s="237" t="s">
        <v>451</v>
      </c>
      <c r="M64" s="232" t="str">
        <f t="shared" si="14"/>
        <v>Médio</v>
      </c>
      <c r="N64" s="233" t="str">
        <f t="shared" si="15"/>
        <v/>
      </c>
      <c r="O64" s="234" t="str">
        <f t="shared" si="41"/>
        <v>Médio</v>
      </c>
      <c r="P64" s="235">
        <f t="shared" si="16"/>
        <v>4</v>
      </c>
      <c r="Q64" s="235">
        <f t="shared" si="17"/>
        <v>0</v>
      </c>
      <c r="R64" s="234">
        <f t="shared" si="18"/>
        <v>4</v>
      </c>
      <c r="S64" s="234">
        <f t="shared" si="19"/>
        <v>4</v>
      </c>
      <c r="T64" s="236" t="s">
        <v>362</v>
      </c>
      <c r="U64" s="236"/>
      <c r="W64" s="184"/>
      <c r="X64" s="56"/>
      <c r="Y64" s="155">
        <f>IF(X64&lt;&gt;"",VLOOKUP(X64,'Tipo Projeto'!$A$3:$B$44,2,0),0)</f>
        <v>0</v>
      </c>
      <c r="Z64" s="44"/>
      <c r="AA64" s="57"/>
      <c r="AB64" s="170"/>
      <c r="AC64" s="174"/>
      <c r="AD64" s="165"/>
      <c r="AE64" s="171" t="str">
        <f t="shared" si="20"/>
        <v/>
      </c>
      <c r="AF64" s="45" t="str">
        <f t="shared" si="21"/>
        <v/>
      </c>
      <c r="AG64" s="175" t="str">
        <f t="shared" si="22"/>
        <v/>
      </c>
      <c r="AH64" s="176">
        <f t="shared" si="23"/>
        <v>0</v>
      </c>
      <c r="AI64" s="176">
        <f t="shared" si="24"/>
        <v>0</v>
      </c>
      <c r="AJ64" s="185">
        <f t="shared" si="25"/>
        <v>0</v>
      </c>
      <c r="AK64" s="44"/>
      <c r="AM64" s="44"/>
      <c r="AO64" s="44"/>
      <c r="AP64" s="44" t="str">
        <f t="shared" si="26"/>
        <v/>
      </c>
    </row>
    <row r="65" spans="2:42" s="46" customFormat="1" ht="18.75" customHeight="1">
      <c r="B65" s="226" t="s">
        <v>73</v>
      </c>
      <c r="C65" s="227">
        <f>IF(B65&lt;&gt;"",VLOOKUP(B65,'Tipo Projeto'!$A$3:$B$44,2,0),0)</f>
        <v>1</v>
      </c>
      <c r="D65" s="228" t="s">
        <v>355</v>
      </c>
      <c r="E65" s="236"/>
      <c r="F65" s="233" t="s">
        <v>303</v>
      </c>
      <c r="G65" s="228" t="s">
        <v>78</v>
      </c>
      <c r="H65" s="229"/>
      <c r="I65" s="230">
        <v>3</v>
      </c>
      <c r="J65" s="225" t="s">
        <v>446</v>
      </c>
      <c r="K65" s="231">
        <v>4</v>
      </c>
      <c r="L65" s="237" t="s">
        <v>452</v>
      </c>
      <c r="M65" s="232" t="str">
        <f t="shared" si="14"/>
        <v>Médio</v>
      </c>
      <c r="N65" s="233" t="str">
        <f t="shared" si="15"/>
        <v/>
      </c>
      <c r="O65" s="234" t="str">
        <f t="shared" si="41"/>
        <v>Médio</v>
      </c>
      <c r="P65" s="235">
        <f t="shared" si="16"/>
        <v>4</v>
      </c>
      <c r="Q65" s="235">
        <f t="shared" si="17"/>
        <v>0</v>
      </c>
      <c r="R65" s="234">
        <f t="shared" si="18"/>
        <v>4</v>
      </c>
      <c r="S65" s="234">
        <f t="shared" si="19"/>
        <v>4</v>
      </c>
      <c r="T65" s="236" t="s">
        <v>362</v>
      </c>
      <c r="U65" s="236"/>
      <c r="W65" s="184"/>
      <c r="X65" s="56"/>
      <c r="Y65" s="155">
        <f>IF(X65&lt;&gt;"",VLOOKUP(X65,'Tipo Projeto'!$A$3:$B$44,2,0),0)</f>
        <v>0</v>
      </c>
      <c r="Z65" s="44"/>
      <c r="AA65" s="57"/>
      <c r="AB65" s="170"/>
      <c r="AC65" s="174"/>
      <c r="AD65" s="165"/>
      <c r="AE65" s="171" t="str">
        <f t="shared" si="20"/>
        <v/>
      </c>
      <c r="AF65" s="45" t="str">
        <f t="shared" si="21"/>
        <v/>
      </c>
      <c r="AG65" s="175" t="str">
        <f t="shared" si="22"/>
        <v/>
      </c>
      <c r="AH65" s="176">
        <f t="shared" si="23"/>
        <v>0</v>
      </c>
      <c r="AI65" s="176">
        <f t="shared" si="24"/>
        <v>0</v>
      </c>
      <c r="AJ65" s="185">
        <f t="shared" si="25"/>
        <v>0</v>
      </c>
      <c r="AK65" s="44"/>
      <c r="AM65" s="44"/>
      <c r="AO65" s="44"/>
      <c r="AP65" s="44" t="str">
        <f t="shared" si="26"/>
        <v/>
      </c>
    </row>
    <row r="66" spans="2:42" s="46" customFormat="1" ht="18.75" customHeight="1">
      <c r="B66" s="226" t="s">
        <v>73</v>
      </c>
      <c r="C66" s="227">
        <f>IF(B66&lt;&gt;"",VLOOKUP(B66,'Tipo Projeto'!$A$3:$B$44,2,0),0)</f>
        <v>1</v>
      </c>
      <c r="D66" s="228" t="s">
        <v>355</v>
      </c>
      <c r="E66" s="236"/>
      <c r="F66" s="233" t="s">
        <v>304</v>
      </c>
      <c r="G66" s="228" t="s">
        <v>78</v>
      </c>
      <c r="H66" s="229"/>
      <c r="I66" s="230">
        <v>3</v>
      </c>
      <c r="J66" s="225" t="s">
        <v>272</v>
      </c>
      <c r="K66" s="231">
        <v>2</v>
      </c>
      <c r="L66" s="237" t="s">
        <v>319</v>
      </c>
      <c r="M66" s="232" t="str">
        <f t="shared" si="14"/>
        <v>Simples</v>
      </c>
      <c r="N66" s="233" t="str">
        <f t="shared" si="15"/>
        <v/>
      </c>
      <c r="O66" s="234" t="str">
        <f t="shared" si="41"/>
        <v>Simples</v>
      </c>
      <c r="P66" s="235">
        <f t="shared" si="16"/>
        <v>3</v>
      </c>
      <c r="Q66" s="235">
        <f t="shared" si="17"/>
        <v>0</v>
      </c>
      <c r="R66" s="234">
        <f t="shared" si="18"/>
        <v>3</v>
      </c>
      <c r="S66" s="234">
        <f t="shared" si="19"/>
        <v>3</v>
      </c>
      <c r="T66" s="236" t="s">
        <v>362</v>
      </c>
      <c r="U66" s="236"/>
      <c r="W66" s="184"/>
      <c r="X66" s="56"/>
      <c r="Y66" s="155">
        <f>IF(X66&lt;&gt;"",VLOOKUP(X66,'Tipo Projeto'!$A$3:$B$44,2,0),0)</f>
        <v>0</v>
      </c>
      <c r="Z66" s="44"/>
      <c r="AA66" s="57"/>
      <c r="AB66" s="170"/>
      <c r="AC66" s="174"/>
      <c r="AD66" s="165"/>
      <c r="AE66" s="171" t="str">
        <f t="shared" si="20"/>
        <v/>
      </c>
      <c r="AF66" s="45" t="str">
        <f t="shared" si="21"/>
        <v/>
      </c>
      <c r="AG66" s="175" t="str">
        <f t="shared" si="22"/>
        <v/>
      </c>
      <c r="AH66" s="176">
        <f t="shared" si="23"/>
        <v>0</v>
      </c>
      <c r="AI66" s="176">
        <f t="shared" si="24"/>
        <v>0</v>
      </c>
      <c r="AJ66" s="185">
        <f t="shared" si="25"/>
        <v>0</v>
      </c>
      <c r="AK66" s="44"/>
      <c r="AM66" s="44"/>
      <c r="AO66" s="44"/>
      <c r="AP66" s="44" t="str">
        <f t="shared" si="26"/>
        <v/>
      </c>
    </row>
    <row r="67" spans="2:42" s="46" customFormat="1" ht="18.75" customHeight="1">
      <c r="B67" s="226" t="s">
        <v>73</v>
      </c>
      <c r="C67" s="227">
        <f>IF(B67&lt;&gt;"",VLOOKUP(B67,'Tipo Projeto'!$A$3:$B$44,2,0),0)</f>
        <v>1</v>
      </c>
      <c r="D67" s="228" t="s">
        <v>355</v>
      </c>
      <c r="E67" s="236"/>
      <c r="F67" s="233" t="s">
        <v>305</v>
      </c>
      <c r="G67" s="228" t="s">
        <v>78</v>
      </c>
      <c r="H67" s="229"/>
      <c r="I67" s="230">
        <v>3</v>
      </c>
      <c r="J67" s="225" t="s">
        <v>446</v>
      </c>
      <c r="K67" s="231">
        <v>4</v>
      </c>
      <c r="L67" s="237" t="s">
        <v>451</v>
      </c>
      <c r="M67" s="232" t="str">
        <f t="shared" si="14"/>
        <v>Médio</v>
      </c>
      <c r="N67" s="233" t="str">
        <f t="shared" si="15"/>
        <v/>
      </c>
      <c r="O67" s="234" t="str">
        <f t="shared" si="41"/>
        <v>Médio</v>
      </c>
      <c r="P67" s="235">
        <f t="shared" si="16"/>
        <v>4</v>
      </c>
      <c r="Q67" s="235">
        <f t="shared" si="17"/>
        <v>0</v>
      </c>
      <c r="R67" s="234">
        <f t="shared" si="18"/>
        <v>4</v>
      </c>
      <c r="S67" s="234">
        <f t="shared" si="19"/>
        <v>4</v>
      </c>
      <c r="T67" s="236" t="s">
        <v>362</v>
      </c>
      <c r="U67" s="236"/>
      <c r="W67" s="184"/>
      <c r="X67" s="56"/>
      <c r="Y67" s="155">
        <f>IF(X67&lt;&gt;"",VLOOKUP(X67,'Tipo Projeto'!$A$3:$B$44,2,0),0)</f>
        <v>0</v>
      </c>
      <c r="Z67" s="44"/>
      <c r="AA67" s="57"/>
      <c r="AB67" s="170"/>
      <c r="AC67" s="174"/>
      <c r="AD67" s="165"/>
      <c r="AE67" s="171" t="str">
        <f t="shared" si="20"/>
        <v/>
      </c>
      <c r="AF67" s="45" t="str">
        <f t="shared" si="21"/>
        <v/>
      </c>
      <c r="AG67" s="175" t="str">
        <f t="shared" si="22"/>
        <v/>
      </c>
      <c r="AH67" s="176">
        <f t="shared" si="23"/>
        <v>0</v>
      </c>
      <c r="AI67" s="176">
        <f t="shared" si="24"/>
        <v>0</v>
      </c>
      <c r="AJ67" s="185">
        <f t="shared" si="25"/>
        <v>0</v>
      </c>
      <c r="AK67" s="44"/>
      <c r="AM67" s="44"/>
      <c r="AO67" s="44"/>
      <c r="AP67" s="44" t="str">
        <f t="shared" si="26"/>
        <v/>
      </c>
    </row>
    <row r="68" spans="2:42" s="46" customFormat="1" ht="18.75" customHeight="1">
      <c r="B68" s="226" t="s">
        <v>73</v>
      </c>
      <c r="C68" s="227">
        <f>IF(B68&lt;&gt;"",VLOOKUP(B68,'Tipo Projeto'!$A$3:$B$44,2,0),0)</f>
        <v>1</v>
      </c>
      <c r="D68" s="228" t="s">
        <v>355</v>
      </c>
      <c r="E68" s="236"/>
      <c r="F68" s="233" t="s">
        <v>306</v>
      </c>
      <c r="G68" s="228" t="s">
        <v>78</v>
      </c>
      <c r="H68" s="229"/>
      <c r="I68" s="230">
        <v>3</v>
      </c>
      <c r="J68" s="225" t="s">
        <v>272</v>
      </c>
      <c r="K68" s="231">
        <v>1</v>
      </c>
      <c r="L68" s="237" t="s">
        <v>465</v>
      </c>
      <c r="M68" s="232" t="str">
        <f t="shared" si="14"/>
        <v>Simples</v>
      </c>
      <c r="N68" s="233" t="str">
        <f t="shared" si="15"/>
        <v/>
      </c>
      <c r="O68" s="234" t="str">
        <f t="shared" si="41"/>
        <v>Simples</v>
      </c>
      <c r="P68" s="235">
        <f t="shared" si="16"/>
        <v>3</v>
      </c>
      <c r="Q68" s="235">
        <f t="shared" si="17"/>
        <v>0</v>
      </c>
      <c r="R68" s="234">
        <f t="shared" si="18"/>
        <v>3</v>
      </c>
      <c r="S68" s="234">
        <f t="shared" si="19"/>
        <v>3</v>
      </c>
      <c r="T68" s="236" t="s">
        <v>362</v>
      </c>
      <c r="U68" s="236"/>
      <c r="W68" s="184"/>
      <c r="X68" s="56"/>
      <c r="Y68" s="155">
        <f>IF(X68&lt;&gt;"",VLOOKUP(X68,'Tipo Projeto'!$A$3:$B$44,2,0),0)</f>
        <v>0</v>
      </c>
      <c r="Z68" s="44"/>
      <c r="AA68" s="57"/>
      <c r="AB68" s="170"/>
      <c r="AC68" s="174"/>
      <c r="AD68" s="165"/>
      <c r="AE68" s="171" t="str">
        <f t="shared" si="20"/>
        <v/>
      </c>
      <c r="AF68" s="45" t="str">
        <f t="shared" si="21"/>
        <v/>
      </c>
      <c r="AG68" s="175" t="str">
        <f t="shared" si="22"/>
        <v/>
      </c>
      <c r="AH68" s="176">
        <f t="shared" si="23"/>
        <v>0</v>
      </c>
      <c r="AI68" s="176">
        <f t="shared" si="24"/>
        <v>0</v>
      </c>
      <c r="AJ68" s="185">
        <f t="shared" si="25"/>
        <v>0</v>
      </c>
      <c r="AK68" s="44"/>
      <c r="AM68" s="44"/>
      <c r="AO68" s="44"/>
      <c r="AP68" s="44" t="str">
        <f t="shared" si="26"/>
        <v/>
      </c>
    </row>
    <row r="69" spans="2:42" s="46" customFormat="1" ht="18.75" customHeight="1">
      <c r="B69" s="226" t="s">
        <v>73</v>
      </c>
      <c r="C69" s="227">
        <f>IF(B69&lt;&gt;"",VLOOKUP(B69,'Tipo Projeto'!$A$3:$B$44,2,0),0)</f>
        <v>1</v>
      </c>
      <c r="D69" s="228" t="s">
        <v>355</v>
      </c>
      <c r="E69" s="236"/>
      <c r="F69" s="233" t="s">
        <v>307</v>
      </c>
      <c r="G69" s="228" t="s">
        <v>78</v>
      </c>
      <c r="H69" s="229"/>
      <c r="I69" s="230">
        <v>10</v>
      </c>
      <c r="J69" s="225" t="s">
        <v>320</v>
      </c>
      <c r="K69" s="231">
        <v>1</v>
      </c>
      <c r="L69" s="237" t="s">
        <v>465</v>
      </c>
      <c r="M69" s="232" t="str">
        <f t="shared" si="14"/>
        <v>Simples</v>
      </c>
      <c r="N69" s="233" t="str">
        <f t="shared" si="15"/>
        <v/>
      </c>
      <c r="O69" s="234" t="str">
        <f t="shared" si="41"/>
        <v>Simples</v>
      </c>
      <c r="P69" s="235">
        <f t="shared" si="16"/>
        <v>3</v>
      </c>
      <c r="Q69" s="235">
        <f t="shared" si="17"/>
        <v>0</v>
      </c>
      <c r="R69" s="234">
        <f t="shared" si="18"/>
        <v>3</v>
      </c>
      <c r="S69" s="234">
        <f t="shared" si="19"/>
        <v>3</v>
      </c>
      <c r="T69" s="236" t="s">
        <v>362</v>
      </c>
      <c r="U69" s="236"/>
      <c r="W69" s="184"/>
      <c r="X69" s="56"/>
      <c r="Y69" s="155">
        <f>IF(X69&lt;&gt;"",VLOOKUP(X69,'Tipo Projeto'!$A$3:$B$44,2,0),0)</f>
        <v>0</v>
      </c>
      <c r="Z69" s="44"/>
      <c r="AA69" s="57"/>
      <c r="AB69" s="170"/>
      <c r="AC69" s="174"/>
      <c r="AD69" s="165"/>
      <c r="AE69" s="171" t="str">
        <f t="shared" si="20"/>
        <v/>
      </c>
      <c r="AF69" s="45" t="str">
        <f t="shared" si="21"/>
        <v/>
      </c>
      <c r="AG69" s="175" t="str">
        <f t="shared" si="22"/>
        <v/>
      </c>
      <c r="AH69" s="176">
        <f t="shared" si="23"/>
        <v>0</v>
      </c>
      <c r="AI69" s="176">
        <f t="shared" si="24"/>
        <v>0</v>
      </c>
      <c r="AJ69" s="185">
        <f t="shared" si="25"/>
        <v>0</v>
      </c>
      <c r="AK69" s="44"/>
      <c r="AM69" s="44"/>
      <c r="AO69" s="44"/>
      <c r="AP69" s="44" t="str">
        <f t="shared" si="26"/>
        <v/>
      </c>
    </row>
    <row r="70" spans="2:42" s="46" customFormat="1" ht="18.75" customHeight="1">
      <c r="B70" s="226" t="s">
        <v>73</v>
      </c>
      <c r="C70" s="227">
        <f>IF(B70&lt;&gt;"",VLOOKUP(B70,'Tipo Projeto'!$A$3:$B$44,2,0),0)</f>
        <v>1</v>
      </c>
      <c r="D70" s="228" t="s">
        <v>355</v>
      </c>
      <c r="E70" s="236"/>
      <c r="F70" s="233" t="s">
        <v>308</v>
      </c>
      <c r="G70" s="228" t="s">
        <v>79</v>
      </c>
      <c r="H70" s="229"/>
      <c r="I70" s="230">
        <v>9</v>
      </c>
      <c r="J70" s="225" t="s">
        <v>321</v>
      </c>
      <c r="K70" s="231">
        <v>4</v>
      </c>
      <c r="L70" s="237" t="s">
        <v>452</v>
      </c>
      <c r="M70" s="232" t="str">
        <f t="shared" ref="M70:M81" si="112">IF(G70="EE",IF(OR(AND(OR(K70=1,K70=0),I70&gt;0,I70&lt;5),AND(OR(K70=1,K70=0),I70&gt;4,I70&lt;16),AND(K70=2,I70&gt;0,I70&lt;5)),"Simples",IF(OR(AND(OR(K70=1,K70=0),I70&gt;15),AND(K70=2,I70&gt;4,I70&lt;16),AND(K70&gt;2,I70&gt;0,I70&lt;5)),"Médio",IF(OR(AND(K70=2,I70&gt;15),AND(K70&gt;2,I70&gt;4,I70&lt;16),AND(K70&gt;2,I70&gt;15)),"Complexo",""))),
IF(OR(G70="CE",G70="SE"),IF(OR(AND(OR(K70=1,K70=0),I70&gt;0,I70&lt;6),AND(OR(K70=1,K70=0),I70&gt;5,I70&lt;20),AND(K70&gt;1,K70&lt;4,I70&gt;0,I70&lt;6)),"Simples",IF(OR(AND(OR(K70=1,K70=0),I70&gt;19),AND(K70&gt;1,K70&lt;4,I70&gt;5,I70&lt;20),AND(K70&gt;3,I70&gt;0,I70&lt;6)),"Médio",IF(OR(AND(K70&gt;1,K70&lt;4,I70&gt;19),AND(K70&gt;3,I70&gt;5,I70&lt;20),AND(K70&gt;3,I70&gt;19)),"Complexo",""))),""))</f>
        <v>Complexo</v>
      </c>
      <c r="N70" s="233" t="str">
        <f t="shared" ref="N70:N81" si="113">IF(G70="ALI",IF(OR(AND(OR(K70=1,K70=0),I70&gt;0,I70&lt;20),AND(OR(K70=1,K70=0),I70&gt;19,I70&lt;51),AND(K70&gt;1,K70&lt;6,I70&gt;0,I70&lt;20)),"Simples",IF(OR(AND(OR(K70=1,K70=0),I70&gt;50),AND(K70&gt;1,K70&lt;6,I70&gt;19,I70&lt;51),AND(K70&gt;5,I70&gt;0,I70&lt;20)),"Médio",IF(OR(AND(K70&gt;1,K70&lt;6,I70&gt;50),AND(K70&gt;5,I70&gt;19,I70&lt;51),AND(K70&gt;5,I70&gt;50)),"Complexo",""))),
IF(G70="AIE",IF(OR(AND(OR(K70=1, K70=0),I70&gt;0,I70&lt;20),AND(OR(K70=1, K70=0),I70&gt;19,I70&lt;51),AND(K70&gt;1,K70&lt;6,I70&gt;0,I70&lt;20)),"Simples",IF(OR(AND(OR(K70=1, K70=0),I70&gt;50),AND(K70&gt;1,K70&lt;6,I70&gt;19,I70&lt;51),AND(K70&gt;5,I70&gt;0,I70&lt;20)),"Médio",IF(OR(AND(K70&gt;1,K70&lt;6,I70&gt;50),AND(K70&gt;5,I70&gt;19,I70&lt;51),AND(K70&gt;5,I70&gt;50)),"Complexo",""))),""))</f>
        <v/>
      </c>
      <c r="O70" s="234" t="str">
        <f t="shared" ref="O70:O81" si="114">IF(M70="",N70,IF(N70="",M70,""))</f>
        <v>Complexo</v>
      </c>
      <c r="P70" s="235">
        <f t="shared" ref="P70:P81" si="115">IF(AND(OR(G70="EE",G70="CE"),O70="Simples"),3,
IF(AND(OR(G70="EE",G70="CE"),O70="Médio"),4,
IF(AND(OR(G70="EE",G70="CE"),O70="Complexo"),6,
IF(AND(G70="SE",O70="Simples"),4,
IF(AND(G70="SE",O70="Médio"),5,
IF(AND(G70="SE",O70="Complexo"),7,0))))))</f>
        <v>6</v>
      </c>
      <c r="Q70" s="235">
        <f t="shared" ref="Q70:Q81" si="116">IF(AND(G70="ALI",N70="Simples"),7,
IF(AND(G70="ALI",N70="Médio"),10,
IF(AND(G70="ALI",N70="Complexo"),15,
IF(AND(G70="AIE",N70="Simples"),5,
IF(AND(G70="AIE",N70="Médio"),7,
IF(AND(G70="AIE",N70="Complexo"),10,0))))))</f>
        <v>0</v>
      </c>
      <c r="R70" s="234">
        <f t="shared" ref="R70:R81" si="117">IF(G70="INM",C70*H70,IF(AND(OR(G70="EE",G70="CE"),O70="Simples"),3,
IF(AND(OR(G70="EE",G70="CE"),O70="Médio"),4,
IF(AND(OR(G70="EE",G70="CE"),O70="Complexo"),6,
IF(AND(G70="SE",O70="Simples"),4,
IF(AND(G70="SE",O70="Médio"),5,
IF(AND(G70="SE",O70="Complexo"),7,
IF(AND(G70="ALI",O70="Médio"),10,
IF(AND(G70="ALI",O70="Simples"),7,
IF(AND(G70="ALI",O70="Complexo"),15,
IF(AND(G70="AIE",O70="Simples"),5,
IF(AND(G70="AIE",O70="Médio"),7,
IF(AND(G70="AIE",O70="Complexo"),10,0))
)))))))))))</f>
        <v>6</v>
      </c>
      <c r="S70" s="234">
        <f t="shared" ref="S70:S81" si="118">IF(G70="INM",C70*H70,IF(B70&lt;&gt;"Manutenção em interface",IF(B70&lt;&gt;"Desenv., Manutenção e Publicação de Páginas Estáticas",(P70+Q70)*C70,C70),C70))</f>
        <v>6</v>
      </c>
      <c r="T70" s="236" t="s">
        <v>362</v>
      </c>
      <c r="U70" s="236"/>
      <c r="W70" s="184"/>
      <c r="X70" s="56"/>
      <c r="Y70" s="155">
        <f>IF(X70&lt;&gt;"",VLOOKUP(X70,'Tipo Projeto'!$A$3:$B$44,2,0),0)</f>
        <v>0</v>
      </c>
      <c r="Z70" s="44"/>
      <c r="AA70" s="57"/>
      <c r="AB70" s="170"/>
      <c r="AC70" s="174"/>
      <c r="AD70" s="165"/>
      <c r="AE70" s="171" t="str">
        <f t="shared" ref="AE70:AE81" si="119">IF(Z70="EE",IF(OR(AND(OR(AC70=1,AC70=0),AA70&gt;0,AA70&lt;5),AND(OR(AC70=1,AC70=0),AA70&gt;4,AA70&lt;16),AND(AC70=2,AA70&gt;0,AA70&lt;5)),"Simples",IF(OR(AND(OR(AC70=1,AC70=0),AA70&gt;15),AND(AC70=2,AA70&gt;4,AA70&lt;16),AND(AC70&gt;2,AA70&gt;0,AA70&lt;5)),"Médio",IF(OR(AND(AC70=2,AA70&gt;15),AND(AC70&gt;2,AA70&gt;4,AA70&lt;16),AND(AC70&gt;2,AA70&gt;15)),"Complexo",""))),
IF(OR(Z70="CE",Z70="SE"),IF(OR(AND(OR(AC70=1,AC70=0),AA70&gt;0,AA70&lt;6),AND(OR(AC70=1,AC70=0),AA70&gt;5,AA70&lt;20),AND(AC70&gt;1,AC70&lt;4,AA70&gt;0,AA70&lt;6)),"Simples",IF(OR(AND(OR(AC70=1,AC70=0),AA70&gt;19),AND(AC70&gt;1,AC70&lt;4,AA70&gt;5,AA70&lt;20),AND(AC70&gt;3,AA70&gt;0,AA70&lt;6)),"Médio",IF(OR(AND(AC70&gt;1,AC70&lt;4,AA70&gt;19),AND(AC70&gt;3,AA70&gt;5,AA70&lt;20),AND(AC70&gt;3,AA70&gt;19)),"Complexo",""))),""))</f>
        <v/>
      </c>
      <c r="AF70" s="45" t="str">
        <f t="shared" ref="AF70:AF81" si="120">IF(Z70="ALI",IF(OR(AND(OR(AC70=1,AC70=0),AA70&gt;0,AA70&lt;20),AND(OR(AC70=1,AC70=0),AA70&gt;19,AA70&lt;51),AND(AC70&gt;1,AC70&lt;6,AA70&gt;0,AA70&lt;20)),"Simples",IF(OR(AND(OR(AC70=1,AC70=0),AA70&gt;50),AND(AC70&gt;1,AC70&lt;6,AA70&gt;19,AA70&lt;51),AND(AC70&gt;5,AA70&gt;0,AA70&lt;20)),"Médio",IF(OR(AND(AC70&gt;1,AC70&lt;6,AA70&gt;50),AND(AC70&gt;5,AA70&gt;19,AA70&lt;51),AND(AC70&gt;5,AA70&gt;50)),"Complexo",""))),
IF(Z70="AIE",IF(OR(AND(OR(AC70=1, AC70=0),AA70&gt;0,AA70&lt;20),AND(OR(AC70=1, AC70=0),AA70&gt;19,AA70&lt;51),AND(AC70&gt;1,AC70&lt;6,AA70&gt;0,AA70&lt;20)),"Simples",IF(OR(AND(OR(AC70=1, AC70=0),AA70&gt;50),AND(AC70&gt;1,AC70&lt;6,AA70&gt;19,AA70&lt;51),AND(AC70&gt;5,AA70&gt;0,AA70&lt;20)),"Médio",IF(OR(AND(AC70&gt;1,AC70&lt;6,AA70&gt;50),AND(AC70&gt;5,AA70&gt;19,AA70&lt;51),AND(AC70&gt;5,AA70&gt;50)),"Complexo",""))),""))</f>
        <v/>
      </c>
      <c r="AG70" s="175" t="str">
        <f t="shared" ref="AG70:AG81" si="121">IF(AE70="",AF70,IF(AF70="",AE70,""))</f>
        <v/>
      </c>
      <c r="AH70" s="176">
        <f t="shared" ref="AH70:AH81" si="122">IF(AND(OR(Z70="EE",Z70="CE"),AG70="Simples"),3,
IF(AND(OR(Z70="EE",Z70="CE"),AG70="Médio"),4,
IF(AND(OR(Z70="EE",Z70="CE"),AG70="Complexo"),6,
IF(AND(Z70="SE",AG70="Simples"),4,
IF(AND(Z70="SE",AG70="Médio"),5,
IF(AND(Z70="SE",AG70="Complexo"),7,0))))))</f>
        <v>0</v>
      </c>
      <c r="AI70" s="176">
        <f t="shared" ref="AI70:AI81" si="123">IF(AND(Z70="ALI",AF70="Simples"),7,
IF(AND(Z70="ALI",AF70="Médio"),10,
IF(AND(Z70="ALI",AF70="Complexo"),15,
IF(AND(Z70="AIE",AF70="Simples"),5,
IF(AND(Z70="AIE",AF70="Médio"),7,
IF(AND(Z70="AIE",AF70="Complexo"),10,0))))))</f>
        <v>0</v>
      </c>
      <c r="AJ70" s="185">
        <f t="shared" ref="AJ70:AJ81" si="124">IF(W70="OK",S70,(
IF(X70&lt;&gt;"Manutenção em interface",IF(X70&lt;&gt;"Desenv., Manutenção e Publicação de Páginas Estáticas",(AH70+AI70)*Y70,Y70),Y70)))</f>
        <v>0</v>
      </c>
      <c r="AK70" s="44"/>
      <c r="AM70" s="44"/>
      <c r="AO70" s="44"/>
      <c r="AP70" s="44" t="str">
        <f t="shared" ref="AP70:AP81" si="125">IF(AJ70=0,"",IF(AJ70=S70,"OK","Divergente"))</f>
        <v/>
      </c>
    </row>
    <row r="71" spans="2:42" s="46" customFormat="1" ht="18.75" customHeight="1">
      <c r="B71" s="226" t="s">
        <v>73</v>
      </c>
      <c r="C71" s="227">
        <f>IF(B71&lt;&gt;"",VLOOKUP(B71,'Tipo Projeto'!$A$3:$B$44,2,0),0)</f>
        <v>1</v>
      </c>
      <c r="D71" s="228" t="s">
        <v>355</v>
      </c>
      <c r="E71" s="236"/>
      <c r="F71" s="233" t="s">
        <v>322</v>
      </c>
      <c r="G71" s="228" t="s">
        <v>79</v>
      </c>
      <c r="H71" s="229"/>
      <c r="I71" s="230">
        <v>9</v>
      </c>
      <c r="J71" s="225" t="s">
        <v>323</v>
      </c>
      <c r="K71" s="231">
        <v>4</v>
      </c>
      <c r="L71" s="237" t="s">
        <v>452</v>
      </c>
      <c r="M71" s="232" t="str">
        <f t="shared" ref="M71" si="126">IF(G71="EE",IF(OR(AND(OR(K71=1,K71=0),I71&gt;0,I71&lt;5),AND(OR(K71=1,K71=0),I71&gt;4,I71&lt;16),AND(K71=2,I71&gt;0,I71&lt;5)),"Simples",IF(OR(AND(OR(K71=1,K71=0),I71&gt;15),AND(K71=2,I71&gt;4,I71&lt;16),AND(K71&gt;2,I71&gt;0,I71&lt;5)),"Médio",IF(OR(AND(K71=2,I71&gt;15),AND(K71&gt;2,I71&gt;4,I71&lt;16),AND(K71&gt;2,I71&gt;15)),"Complexo",""))),
IF(OR(G71="CE",G71="SE"),IF(OR(AND(OR(K71=1,K71=0),I71&gt;0,I71&lt;6),AND(OR(K71=1,K71=0),I71&gt;5,I71&lt;20),AND(K71&gt;1,K71&lt;4,I71&gt;0,I71&lt;6)),"Simples",IF(OR(AND(OR(K71=1,K71=0),I71&gt;19),AND(K71&gt;1,K71&lt;4,I71&gt;5,I71&lt;20),AND(K71&gt;3,I71&gt;0,I71&lt;6)),"Médio",IF(OR(AND(K71&gt;1,K71&lt;4,I71&gt;19),AND(K71&gt;3,I71&gt;5,I71&lt;20),AND(K71&gt;3,I71&gt;19)),"Complexo",""))),""))</f>
        <v>Complexo</v>
      </c>
      <c r="N71" s="233" t="str">
        <f t="shared" ref="N71" si="127">IF(G71="ALI",IF(OR(AND(OR(K71=1,K71=0),I71&gt;0,I71&lt;20),AND(OR(K71=1,K71=0),I71&gt;19,I71&lt;51),AND(K71&gt;1,K71&lt;6,I71&gt;0,I71&lt;20)),"Simples",IF(OR(AND(OR(K71=1,K71=0),I71&gt;50),AND(K71&gt;1,K71&lt;6,I71&gt;19,I71&lt;51),AND(K71&gt;5,I71&gt;0,I71&lt;20)),"Médio",IF(OR(AND(K71&gt;1,K71&lt;6,I71&gt;50),AND(K71&gt;5,I71&gt;19,I71&lt;51),AND(K71&gt;5,I71&gt;50)),"Complexo",""))),
IF(G71="AIE",IF(OR(AND(OR(K71=1, K71=0),I71&gt;0,I71&lt;20),AND(OR(K71=1, K71=0),I71&gt;19,I71&lt;51),AND(K71&gt;1,K71&lt;6,I71&gt;0,I71&lt;20)),"Simples",IF(OR(AND(OR(K71=1, K71=0),I71&gt;50),AND(K71&gt;1,K71&lt;6,I71&gt;19,I71&lt;51),AND(K71&gt;5,I71&gt;0,I71&lt;20)),"Médio",IF(OR(AND(K71&gt;1,K71&lt;6,I71&gt;50),AND(K71&gt;5,I71&gt;19,I71&lt;51),AND(K71&gt;5,I71&gt;50)),"Complexo",""))),""))</f>
        <v/>
      </c>
      <c r="O71" s="234" t="str">
        <f t="shared" ref="O71" si="128">IF(M71="",N71,IF(N71="",M71,""))</f>
        <v>Complexo</v>
      </c>
      <c r="P71" s="235">
        <f t="shared" ref="P71" si="129">IF(AND(OR(G71="EE",G71="CE"),O71="Simples"),3,
IF(AND(OR(G71="EE",G71="CE"),O71="Médio"),4,
IF(AND(OR(G71="EE",G71="CE"),O71="Complexo"),6,
IF(AND(G71="SE",O71="Simples"),4,
IF(AND(G71="SE",O71="Médio"),5,
IF(AND(G71="SE",O71="Complexo"),7,0))))))</f>
        <v>6</v>
      </c>
      <c r="Q71" s="235">
        <f t="shared" ref="Q71" si="130">IF(AND(G71="ALI",N71="Simples"),7,
IF(AND(G71="ALI",N71="Médio"),10,
IF(AND(G71="ALI",N71="Complexo"),15,
IF(AND(G71="AIE",N71="Simples"),5,
IF(AND(G71="AIE",N71="Médio"),7,
IF(AND(G71="AIE",N71="Complexo"),10,0))))))</f>
        <v>0</v>
      </c>
      <c r="R71" s="234">
        <f t="shared" ref="R71" si="131">IF(G71="INM",C71*H71,IF(AND(OR(G71="EE",G71="CE"),O71="Simples"),3,
IF(AND(OR(G71="EE",G71="CE"),O71="Médio"),4,
IF(AND(OR(G71="EE",G71="CE"),O71="Complexo"),6,
IF(AND(G71="SE",O71="Simples"),4,
IF(AND(G71="SE",O71="Médio"),5,
IF(AND(G71="SE",O71="Complexo"),7,
IF(AND(G71="ALI",O71="Médio"),10,
IF(AND(G71="ALI",O71="Simples"),7,
IF(AND(G71="ALI",O71="Complexo"),15,
IF(AND(G71="AIE",O71="Simples"),5,
IF(AND(G71="AIE",O71="Médio"),7,
IF(AND(G71="AIE",O71="Complexo"),10,0))
)))))))))))</f>
        <v>6</v>
      </c>
      <c r="S71" s="234">
        <f t="shared" ref="S71" si="132">IF(G71="INM",C71*H71,IF(B71&lt;&gt;"Manutenção em interface",IF(B71&lt;&gt;"Desenv., Manutenção e Publicação de Páginas Estáticas",(P71+Q71)*C71,C71),C71))</f>
        <v>6</v>
      </c>
      <c r="T71" s="236" t="s">
        <v>362</v>
      </c>
      <c r="U71" s="236"/>
      <c r="W71" s="184"/>
      <c r="X71" s="56"/>
      <c r="Y71" s="155">
        <f>IF(X71&lt;&gt;"",VLOOKUP(X71,'Tipo Projeto'!$A$3:$B$44,2,0),0)</f>
        <v>0</v>
      </c>
      <c r="Z71" s="44"/>
      <c r="AA71" s="57"/>
      <c r="AB71" s="170"/>
      <c r="AC71" s="174"/>
      <c r="AD71" s="165"/>
      <c r="AE71" s="171" t="str">
        <f t="shared" ref="AE71" si="133">IF(Z71="EE",IF(OR(AND(OR(AC71=1,AC71=0),AA71&gt;0,AA71&lt;5),AND(OR(AC71=1,AC71=0),AA71&gt;4,AA71&lt;16),AND(AC71=2,AA71&gt;0,AA71&lt;5)),"Simples",IF(OR(AND(OR(AC71=1,AC71=0),AA71&gt;15),AND(AC71=2,AA71&gt;4,AA71&lt;16),AND(AC71&gt;2,AA71&gt;0,AA71&lt;5)),"Médio",IF(OR(AND(AC71=2,AA71&gt;15),AND(AC71&gt;2,AA71&gt;4,AA71&lt;16),AND(AC71&gt;2,AA71&gt;15)),"Complexo",""))),
IF(OR(Z71="CE",Z71="SE"),IF(OR(AND(OR(AC71=1,AC71=0),AA71&gt;0,AA71&lt;6),AND(OR(AC71=1,AC71=0),AA71&gt;5,AA71&lt;20),AND(AC71&gt;1,AC71&lt;4,AA71&gt;0,AA71&lt;6)),"Simples",IF(OR(AND(OR(AC71=1,AC71=0),AA71&gt;19),AND(AC71&gt;1,AC71&lt;4,AA71&gt;5,AA71&lt;20),AND(AC71&gt;3,AA71&gt;0,AA71&lt;6)),"Médio",IF(OR(AND(AC71&gt;1,AC71&lt;4,AA71&gt;19),AND(AC71&gt;3,AA71&gt;5,AA71&lt;20),AND(AC71&gt;3,AA71&gt;19)),"Complexo",""))),""))</f>
        <v/>
      </c>
      <c r="AF71" s="45" t="str">
        <f t="shared" ref="AF71" si="134">IF(Z71="ALI",IF(OR(AND(OR(AC71=1,AC71=0),AA71&gt;0,AA71&lt;20),AND(OR(AC71=1,AC71=0),AA71&gt;19,AA71&lt;51),AND(AC71&gt;1,AC71&lt;6,AA71&gt;0,AA71&lt;20)),"Simples",IF(OR(AND(OR(AC71=1,AC71=0),AA71&gt;50),AND(AC71&gt;1,AC71&lt;6,AA71&gt;19,AA71&lt;51),AND(AC71&gt;5,AA71&gt;0,AA71&lt;20)),"Médio",IF(OR(AND(AC71&gt;1,AC71&lt;6,AA71&gt;50),AND(AC71&gt;5,AA71&gt;19,AA71&lt;51),AND(AC71&gt;5,AA71&gt;50)),"Complexo",""))),
IF(Z71="AIE",IF(OR(AND(OR(AC71=1, AC71=0),AA71&gt;0,AA71&lt;20),AND(OR(AC71=1, AC71=0),AA71&gt;19,AA71&lt;51),AND(AC71&gt;1,AC71&lt;6,AA71&gt;0,AA71&lt;20)),"Simples",IF(OR(AND(OR(AC71=1, AC71=0),AA71&gt;50),AND(AC71&gt;1,AC71&lt;6,AA71&gt;19,AA71&lt;51),AND(AC71&gt;5,AA71&gt;0,AA71&lt;20)),"Médio",IF(OR(AND(AC71&gt;1,AC71&lt;6,AA71&gt;50),AND(AC71&gt;5,AA71&gt;19,AA71&lt;51),AND(AC71&gt;5,AA71&gt;50)),"Complexo",""))),""))</f>
        <v/>
      </c>
      <c r="AG71" s="175" t="str">
        <f t="shared" ref="AG71" si="135">IF(AE71="",AF71,IF(AF71="",AE71,""))</f>
        <v/>
      </c>
      <c r="AH71" s="176">
        <f t="shared" ref="AH71" si="136">IF(AND(OR(Z71="EE",Z71="CE"),AG71="Simples"),3,
IF(AND(OR(Z71="EE",Z71="CE"),AG71="Médio"),4,
IF(AND(OR(Z71="EE",Z71="CE"),AG71="Complexo"),6,
IF(AND(Z71="SE",AG71="Simples"),4,
IF(AND(Z71="SE",AG71="Médio"),5,
IF(AND(Z71="SE",AG71="Complexo"),7,0))))))</f>
        <v>0</v>
      </c>
      <c r="AI71" s="176">
        <f t="shared" ref="AI71" si="137">IF(AND(Z71="ALI",AF71="Simples"),7,
IF(AND(Z71="ALI",AF71="Médio"),10,
IF(AND(Z71="ALI",AF71="Complexo"),15,
IF(AND(Z71="AIE",AF71="Simples"),5,
IF(AND(Z71="AIE",AF71="Médio"),7,
IF(AND(Z71="AIE",AF71="Complexo"),10,0))))))</f>
        <v>0</v>
      </c>
      <c r="AJ71" s="185">
        <f t="shared" ref="AJ71" si="138">IF(W71="OK",S71,(
IF(X71&lt;&gt;"Manutenção em interface",IF(X71&lt;&gt;"Desenv., Manutenção e Publicação de Páginas Estáticas",(AH71+AI71)*Y71,Y71),Y71)))</f>
        <v>0</v>
      </c>
      <c r="AK71" s="44"/>
      <c r="AM71" s="44"/>
      <c r="AO71" s="44"/>
      <c r="AP71" s="44" t="str">
        <f t="shared" ref="AP71" si="139">IF(AJ71=0,"",IF(AJ71=S71,"OK","Divergente"))</f>
        <v/>
      </c>
    </row>
    <row r="72" spans="2:42" s="46" customFormat="1" ht="18.75" customHeight="1">
      <c r="B72" s="226" t="s">
        <v>73</v>
      </c>
      <c r="C72" s="227">
        <f>IF(B72&lt;&gt;"",VLOOKUP(B72,'Tipo Projeto'!$A$3:$B$44,2,0),0)</f>
        <v>1</v>
      </c>
      <c r="D72" s="228" t="s">
        <v>355</v>
      </c>
      <c r="E72" s="236"/>
      <c r="F72" s="233" t="s">
        <v>309</v>
      </c>
      <c r="G72" s="228" t="s">
        <v>78</v>
      </c>
      <c r="H72" s="229"/>
      <c r="I72" s="230">
        <v>24</v>
      </c>
      <c r="J72" s="225" t="s">
        <v>310</v>
      </c>
      <c r="K72" s="231">
        <v>1</v>
      </c>
      <c r="L72" s="237" t="s">
        <v>465</v>
      </c>
      <c r="M72" s="232" t="str">
        <f t="shared" si="112"/>
        <v>Médio</v>
      </c>
      <c r="N72" s="233" t="str">
        <f t="shared" si="113"/>
        <v/>
      </c>
      <c r="O72" s="234" t="str">
        <f t="shared" si="114"/>
        <v>Médio</v>
      </c>
      <c r="P72" s="235">
        <f t="shared" si="115"/>
        <v>4</v>
      </c>
      <c r="Q72" s="235">
        <f t="shared" si="116"/>
        <v>0</v>
      </c>
      <c r="R72" s="234">
        <f t="shared" si="117"/>
        <v>4</v>
      </c>
      <c r="S72" s="234">
        <f t="shared" si="118"/>
        <v>4</v>
      </c>
      <c r="T72" s="236" t="s">
        <v>362</v>
      </c>
      <c r="U72" s="236"/>
      <c r="W72" s="184"/>
      <c r="X72" s="56"/>
      <c r="Y72" s="155">
        <f>IF(X72&lt;&gt;"",VLOOKUP(X72,'Tipo Projeto'!$A$3:$B$44,2,0),0)</f>
        <v>0</v>
      </c>
      <c r="Z72" s="44"/>
      <c r="AA72" s="57"/>
      <c r="AB72" s="170"/>
      <c r="AC72" s="174"/>
      <c r="AD72" s="165"/>
      <c r="AE72" s="171" t="str">
        <f t="shared" si="119"/>
        <v/>
      </c>
      <c r="AF72" s="45" t="str">
        <f t="shared" si="120"/>
        <v/>
      </c>
      <c r="AG72" s="175" t="str">
        <f t="shared" si="121"/>
        <v/>
      </c>
      <c r="AH72" s="176">
        <f t="shared" si="122"/>
        <v>0</v>
      </c>
      <c r="AI72" s="176">
        <f t="shared" si="123"/>
        <v>0</v>
      </c>
      <c r="AJ72" s="185">
        <f t="shared" si="124"/>
        <v>0</v>
      </c>
      <c r="AK72" s="44"/>
      <c r="AM72" s="44"/>
      <c r="AO72" s="44"/>
      <c r="AP72" s="44" t="str">
        <f t="shared" si="125"/>
        <v/>
      </c>
    </row>
    <row r="73" spans="2:42" s="46" customFormat="1" ht="18.75" customHeight="1">
      <c r="B73" s="226" t="s">
        <v>73</v>
      </c>
      <c r="C73" s="227">
        <f>IF(B73&lt;&gt;"",VLOOKUP(B73,'Tipo Projeto'!$A$3:$B$44,2,0),0)</f>
        <v>1</v>
      </c>
      <c r="D73" s="228" t="s">
        <v>355</v>
      </c>
      <c r="E73" s="236"/>
      <c r="F73" s="233" t="s">
        <v>313</v>
      </c>
      <c r="G73" s="228" t="s">
        <v>79</v>
      </c>
      <c r="H73" s="229"/>
      <c r="I73" s="230">
        <v>23</v>
      </c>
      <c r="J73" s="225" t="s">
        <v>316</v>
      </c>
      <c r="K73" s="231">
        <v>4</v>
      </c>
      <c r="L73" s="237" t="s">
        <v>452</v>
      </c>
      <c r="M73" s="232" t="str">
        <f t="shared" si="112"/>
        <v>Complexo</v>
      </c>
      <c r="N73" s="233" t="str">
        <f t="shared" si="113"/>
        <v/>
      </c>
      <c r="O73" s="234" t="str">
        <f t="shared" si="114"/>
        <v>Complexo</v>
      </c>
      <c r="P73" s="235">
        <f t="shared" si="115"/>
        <v>6</v>
      </c>
      <c r="Q73" s="235">
        <f t="shared" si="116"/>
        <v>0</v>
      </c>
      <c r="R73" s="234">
        <f t="shared" si="117"/>
        <v>6</v>
      </c>
      <c r="S73" s="234">
        <f t="shared" si="118"/>
        <v>6</v>
      </c>
      <c r="T73" s="236" t="s">
        <v>362</v>
      </c>
      <c r="U73" s="236"/>
      <c r="W73" s="184"/>
      <c r="X73" s="56"/>
      <c r="Y73" s="155">
        <f>IF(X73&lt;&gt;"",VLOOKUP(X73,'Tipo Projeto'!$A$3:$B$44,2,0),0)</f>
        <v>0</v>
      </c>
      <c r="Z73" s="44"/>
      <c r="AA73" s="57"/>
      <c r="AB73" s="170"/>
      <c r="AC73" s="174"/>
      <c r="AD73" s="165"/>
      <c r="AE73" s="171" t="str">
        <f t="shared" si="119"/>
        <v/>
      </c>
      <c r="AF73" s="45" t="str">
        <f t="shared" si="120"/>
        <v/>
      </c>
      <c r="AG73" s="175" t="str">
        <f t="shared" si="121"/>
        <v/>
      </c>
      <c r="AH73" s="176">
        <f t="shared" si="122"/>
        <v>0</v>
      </c>
      <c r="AI73" s="176">
        <f t="shared" si="123"/>
        <v>0</v>
      </c>
      <c r="AJ73" s="185">
        <f t="shared" si="124"/>
        <v>0</v>
      </c>
      <c r="AK73" s="44"/>
      <c r="AM73" s="44"/>
      <c r="AO73" s="44"/>
      <c r="AP73" s="44" t="str">
        <f t="shared" si="125"/>
        <v/>
      </c>
    </row>
    <row r="74" spans="2:42" s="46" customFormat="1" ht="18.75" customHeight="1">
      <c r="B74" s="226" t="s">
        <v>73</v>
      </c>
      <c r="C74" s="227">
        <f>IF(B74&lt;&gt;"",VLOOKUP(B74,'Tipo Projeto'!$A$3:$B$44,2,0),0)</f>
        <v>1</v>
      </c>
      <c r="D74" s="228" t="s">
        <v>355</v>
      </c>
      <c r="E74" s="236"/>
      <c r="F74" s="233" t="s">
        <v>311</v>
      </c>
      <c r="G74" s="228" t="s">
        <v>78</v>
      </c>
      <c r="H74" s="229"/>
      <c r="I74" s="230">
        <v>24</v>
      </c>
      <c r="J74" s="225" t="s">
        <v>310</v>
      </c>
      <c r="K74" s="231">
        <v>1</v>
      </c>
      <c r="L74" s="237" t="s">
        <v>465</v>
      </c>
      <c r="M74" s="232" t="str">
        <f t="shared" si="112"/>
        <v>Médio</v>
      </c>
      <c r="N74" s="233" t="str">
        <f t="shared" si="113"/>
        <v/>
      </c>
      <c r="O74" s="234" t="str">
        <f t="shared" si="114"/>
        <v>Médio</v>
      </c>
      <c r="P74" s="235">
        <f t="shared" si="115"/>
        <v>4</v>
      </c>
      <c r="Q74" s="235">
        <f t="shared" si="116"/>
        <v>0</v>
      </c>
      <c r="R74" s="234">
        <f t="shared" si="117"/>
        <v>4</v>
      </c>
      <c r="S74" s="234">
        <f t="shared" si="118"/>
        <v>4</v>
      </c>
      <c r="T74" s="236" t="s">
        <v>362</v>
      </c>
      <c r="U74" s="236"/>
      <c r="W74" s="184"/>
      <c r="X74" s="56"/>
      <c r="Y74" s="155">
        <f>IF(X74&lt;&gt;"",VLOOKUP(X74,'Tipo Projeto'!$A$3:$B$44,2,0),0)</f>
        <v>0</v>
      </c>
      <c r="Z74" s="44"/>
      <c r="AA74" s="57"/>
      <c r="AB74" s="170"/>
      <c r="AC74" s="174"/>
      <c r="AD74" s="165"/>
      <c r="AE74" s="171" t="str">
        <f t="shared" si="119"/>
        <v/>
      </c>
      <c r="AF74" s="45" t="str">
        <f t="shared" si="120"/>
        <v/>
      </c>
      <c r="AG74" s="175" t="str">
        <f t="shared" si="121"/>
        <v/>
      </c>
      <c r="AH74" s="176">
        <f t="shared" si="122"/>
        <v>0</v>
      </c>
      <c r="AI74" s="176">
        <f t="shared" si="123"/>
        <v>0</v>
      </c>
      <c r="AJ74" s="185">
        <f t="shared" si="124"/>
        <v>0</v>
      </c>
      <c r="AK74" s="44"/>
      <c r="AM74" s="44"/>
      <c r="AO74" s="44"/>
      <c r="AP74" s="44" t="str">
        <f t="shared" si="125"/>
        <v/>
      </c>
    </row>
    <row r="75" spans="2:42" s="46" customFormat="1" ht="18.75" customHeight="1">
      <c r="B75" s="226" t="s">
        <v>73</v>
      </c>
      <c r="C75" s="227">
        <f>IF(B75&lt;&gt;"",VLOOKUP(B75,'Tipo Projeto'!$A$3:$B$44,2,0),0)</f>
        <v>1</v>
      </c>
      <c r="D75" s="228" t="s">
        <v>355</v>
      </c>
      <c r="E75" s="236"/>
      <c r="F75" s="233" t="s">
        <v>312</v>
      </c>
      <c r="G75" s="228" t="s">
        <v>78</v>
      </c>
      <c r="H75" s="229"/>
      <c r="I75" s="230">
        <v>3</v>
      </c>
      <c r="J75" s="225" t="s">
        <v>314</v>
      </c>
      <c r="K75" s="231">
        <v>1</v>
      </c>
      <c r="L75" s="237" t="s">
        <v>465</v>
      </c>
      <c r="M75" s="232" t="str">
        <f t="shared" si="112"/>
        <v>Simples</v>
      </c>
      <c r="N75" s="233" t="str">
        <f t="shared" si="113"/>
        <v/>
      </c>
      <c r="O75" s="234" t="str">
        <f t="shared" si="114"/>
        <v>Simples</v>
      </c>
      <c r="P75" s="235">
        <f t="shared" si="115"/>
        <v>3</v>
      </c>
      <c r="Q75" s="235">
        <f t="shared" si="116"/>
        <v>0</v>
      </c>
      <c r="R75" s="234">
        <f t="shared" si="117"/>
        <v>3</v>
      </c>
      <c r="S75" s="234">
        <f t="shared" si="118"/>
        <v>3</v>
      </c>
      <c r="T75" s="236" t="s">
        <v>362</v>
      </c>
      <c r="U75" s="236"/>
      <c r="W75" s="184"/>
      <c r="X75" s="56"/>
      <c r="Y75" s="155">
        <f>IF(X75&lt;&gt;"",VLOOKUP(X75,'Tipo Projeto'!$A$3:$B$44,2,0),0)</f>
        <v>0</v>
      </c>
      <c r="Z75" s="44"/>
      <c r="AA75" s="57"/>
      <c r="AB75" s="170"/>
      <c r="AC75" s="174"/>
      <c r="AD75" s="165"/>
      <c r="AE75" s="171" t="str">
        <f t="shared" si="119"/>
        <v/>
      </c>
      <c r="AF75" s="45" t="str">
        <f t="shared" si="120"/>
        <v/>
      </c>
      <c r="AG75" s="175" t="str">
        <f t="shared" si="121"/>
        <v/>
      </c>
      <c r="AH75" s="176">
        <f t="shared" si="122"/>
        <v>0</v>
      </c>
      <c r="AI75" s="176">
        <f t="shared" si="123"/>
        <v>0</v>
      </c>
      <c r="AJ75" s="185">
        <f t="shared" si="124"/>
        <v>0</v>
      </c>
      <c r="AK75" s="44"/>
      <c r="AM75" s="44"/>
      <c r="AO75" s="44"/>
      <c r="AP75" s="44" t="str">
        <f t="shared" si="125"/>
        <v/>
      </c>
    </row>
    <row r="76" spans="2:42" s="46" customFormat="1" ht="18.75" customHeight="1">
      <c r="B76" s="226" t="s">
        <v>73</v>
      </c>
      <c r="C76" s="227">
        <f>IF(B76&lt;&gt;"",VLOOKUP(B76,'Tipo Projeto'!$A$3:$B$44,2,0),0)</f>
        <v>1</v>
      </c>
      <c r="D76" s="228" t="s">
        <v>355</v>
      </c>
      <c r="E76" s="236"/>
      <c r="F76" s="233" t="s">
        <v>324</v>
      </c>
      <c r="G76" s="228" t="s">
        <v>79</v>
      </c>
      <c r="H76" s="229"/>
      <c r="I76" s="230">
        <v>3</v>
      </c>
      <c r="J76" s="225" t="s">
        <v>328</v>
      </c>
      <c r="K76" s="231">
        <v>4</v>
      </c>
      <c r="L76" s="237" t="s">
        <v>452</v>
      </c>
      <c r="M76" s="232" t="str">
        <f t="shared" si="112"/>
        <v>Médio</v>
      </c>
      <c r="N76" s="233" t="str">
        <f t="shared" si="113"/>
        <v/>
      </c>
      <c r="O76" s="234" t="str">
        <f t="shared" si="114"/>
        <v>Médio</v>
      </c>
      <c r="P76" s="235">
        <f t="shared" si="115"/>
        <v>4</v>
      </c>
      <c r="Q76" s="235">
        <f t="shared" si="116"/>
        <v>0</v>
      </c>
      <c r="R76" s="234">
        <f t="shared" si="117"/>
        <v>4</v>
      </c>
      <c r="S76" s="234">
        <f t="shared" si="118"/>
        <v>4</v>
      </c>
      <c r="T76" s="236" t="s">
        <v>362</v>
      </c>
      <c r="U76" s="236"/>
      <c r="W76" s="184"/>
      <c r="X76" s="56"/>
      <c r="Y76" s="155">
        <f>IF(X76&lt;&gt;"",VLOOKUP(X76,'Tipo Projeto'!$A$3:$B$44,2,0),0)</f>
        <v>0</v>
      </c>
      <c r="Z76" s="44"/>
      <c r="AA76" s="57"/>
      <c r="AB76" s="170"/>
      <c r="AC76" s="174"/>
      <c r="AD76" s="165"/>
      <c r="AE76" s="171" t="str">
        <f t="shared" si="119"/>
        <v/>
      </c>
      <c r="AF76" s="45" t="str">
        <f t="shared" si="120"/>
        <v/>
      </c>
      <c r="AG76" s="175" t="str">
        <f t="shared" si="121"/>
        <v/>
      </c>
      <c r="AH76" s="176">
        <f t="shared" si="122"/>
        <v>0</v>
      </c>
      <c r="AI76" s="176">
        <f t="shared" si="123"/>
        <v>0</v>
      </c>
      <c r="AJ76" s="185">
        <f t="shared" si="124"/>
        <v>0</v>
      </c>
      <c r="AK76" s="44"/>
      <c r="AM76" s="44"/>
      <c r="AO76" s="44"/>
      <c r="AP76" s="44" t="str">
        <f t="shared" si="125"/>
        <v/>
      </c>
    </row>
    <row r="77" spans="2:42" s="46" customFormat="1" ht="18.75" customHeight="1">
      <c r="B77" s="226" t="s">
        <v>73</v>
      </c>
      <c r="C77" s="227">
        <f>IF(B77&lt;&gt;"",VLOOKUP(B77,'Tipo Projeto'!$A$3:$B$44,2,0),0)</f>
        <v>1</v>
      </c>
      <c r="D77" s="228" t="s">
        <v>355</v>
      </c>
      <c r="E77" s="236"/>
      <c r="F77" s="233" t="s">
        <v>325</v>
      </c>
      <c r="G77" s="228" t="s">
        <v>78</v>
      </c>
      <c r="H77" s="229"/>
      <c r="I77" s="230">
        <v>4</v>
      </c>
      <c r="J77" s="225" t="s">
        <v>250</v>
      </c>
      <c r="K77" s="231">
        <v>1</v>
      </c>
      <c r="L77" s="237" t="s">
        <v>465</v>
      </c>
      <c r="M77" s="232" t="str">
        <f t="shared" si="112"/>
        <v>Simples</v>
      </c>
      <c r="N77" s="233" t="str">
        <f t="shared" si="113"/>
        <v/>
      </c>
      <c r="O77" s="234" t="str">
        <f t="shared" si="114"/>
        <v>Simples</v>
      </c>
      <c r="P77" s="235">
        <f t="shared" si="115"/>
        <v>3</v>
      </c>
      <c r="Q77" s="235">
        <f t="shared" si="116"/>
        <v>0</v>
      </c>
      <c r="R77" s="234">
        <f t="shared" si="117"/>
        <v>3</v>
      </c>
      <c r="S77" s="234">
        <f t="shared" si="118"/>
        <v>3</v>
      </c>
      <c r="T77" s="236" t="s">
        <v>362</v>
      </c>
      <c r="U77" s="236"/>
      <c r="W77" s="184"/>
      <c r="X77" s="56"/>
      <c r="Y77" s="155">
        <f>IF(X77&lt;&gt;"",VLOOKUP(X77,'Tipo Projeto'!$A$3:$B$44,2,0),0)</f>
        <v>0</v>
      </c>
      <c r="Z77" s="44"/>
      <c r="AA77" s="57"/>
      <c r="AB77" s="170"/>
      <c r="AC77" s="174"/>
      <c r="AD77" s="165"/>
      <c r="AE77" s="171" t="str">
        <f t="shared" si="119"/>
        <v/>
      </c>
      <c r="AF77" s="45" t="str">
        <f t="shared" si="120"/>
        <v/>
      </c>
      <c r="AG77" s="175" t="str">
        <f t="shared" si="121"/>
        <v/>
      </c>
      <c r="AH77" s="176">
        <f t="shared" si="122"/>
        <v>0</v>
      </c>
      <c r="AI77" s="176">
        <f t="shared" si="123"/>
        <v>0</v>
      </c>
      <c r="AJ77" s="185">
        <f t="shared" si="124"/>
        <v>0</v>
      </c>
      <c r="AK77" s="44"/>
      <c r="AM77" s="44"/>
      <c r="AO77" s="44"/>
      <c r="AP77" s="44" t="str">
        <f t="shared" si="125"/>
        <v/>
      </c>
    </row>
    <row r="78" spans="2:42" s="46" customFormat="1" ht="18.75" customHeight="1">
      <c r="B78" s="226" t="s">
        <v>73</v>
      </c>
      <c r="C78" s="227">
        <f>IF(B78&lt;&gt;"",VLOOKUP(B78,'Tipo Projeto'!$A$3:$B$44,2,0),0)</f>
        <v>1</v>
      </c>
      <c r="D78" s="228" t="s">
        <v>355</v>
      </c>
      <c r="E78" s="236"/>
      <c r="F78" s="233" t="s">
        <v>327</v>
      </c>
      <c r="G78" s="228" t="s">
        <v>79</v>
      </c>
      <c r="H78" s="229"/>
      <c r="I78" s="230">
        <v>3</v>
      </c>
      <c r="J78" s="225" t="s">
        <v>328</v>
      </c>
      <c r="K78" s="231">
        <v>4</v>
      </c>
      <c r="L78" s="237" t="s">
        <v>452</v>
      </c>
      <c r="M78" s="232" t="str">
        <f t="shared" si="112"/>
        <v>Médio</v>
      </c>
      <c r="N78" s="233" t="str">
        <f t="shared" si="113"/>
        <v/>
      </c>
      <c r="O78" s="234" t="str">
        <f t="shared" si="114"/>
        <v>Médio</v>
      </c>
      <c r="P78" s="235">
        <f t="shared" si="115"/>
        <v>4</v>
      </c>
      <c r="Q78" s="235">
        <f t="shared" si="116"/>
        <v>0</v>
      </c>
      <c r="R78" s="234">
        <f t="shared" si="117"/>
        <v>4</v>
      </c>
      <c r="S78" s="234">
        <f t="shared" si="118"/>
        <v>4</v>
      </c>
      <c r="T78" s="236" t="s">
        <v>362</v>
      </c>
      <c r="U78" s="236"/>
      <c r="W78" s="184"/>
      <c r="X78" s="56"/>
      <c r="Y78" s="155">
        <f>IF(X78&lt;&gt;"",VLOOKUP(X78,'Tipo Projeto'!$A$3:$B$44,2,0),0)</f>
        <v>0</v>
      </c>
      <c r="Z78" s="44"/>
      <c r="AA78" s="57"/>
      <c r="AB78" s="170"/>
      <c r="AC78" s="174"/>
      <c r="AD78" s="165"/>
      <c r="AE78" s="171" t="str">
        <f t="shared" si="119"/>
        <v/>
      </c>
      <c r="AF78" s="45" t="str">
        <f t="shared" si="120"/>
        <v/>
      </c>
      <c r="AG78" s="175" t="str">
        <f t="shared" si="121"/>
        <v/>
      </c>
      <c r="AH78" s="176">
        <f t="shared" si="122"/>
        <v>0</v>
      </c>
      <c r="AI78" s="176">
        <f t="shared" si="123"/>
        <v>0</v>
      </c>
      <c r="AJ78" s="185">
        <f t="shared" si="124"/>
        <v>0</v>
      </c>
      <c r="AK78" s="44"/>
      <c r="AM78" s="44"/>
      <c r="AO78" s="44"/>
      <c r="AP78" s="44" t="str">
        <f t="shared" si="125"/>
        <v/>
      </c>
    </row>
    <row r="79" spans="2:42" s="46" customFormat="1" ht="18.75" customHeight="1">
      <c r="B79" s="226" t="s">
        <v>73</v>
      </c>
      <c r="C79" s="227">
        <f>IF(B79&lt;&gt;"",VLOOKUP(B79,'Tipo Projeto'!$A$3:$B$44,2,0),0)</f>
        <v>1</v>
      </c>
      <c r="D79" s="228" t="s">
        <v>355</v>
      </c>
      <c r="E79" s="236"/>
      <c r="F79" s="233" t="s">
        <v>326</v>
      </c>
      <c r="G79" s="228" t="s">
        <v>78</v>
      </c>
      <c r="H79" s="229"/>
      <c r="I79" s="230">
        <v>4</v>
      </c>
      <c r="J79" s="225" t="s">
        <v>250</v>
      </c>
      <c r="K79" s="231">
        <v>1</v>
      </c>
      <c r="L79" s="237" t="s">
        <v>465</v>
      </c>
      <c r="M79" s="232" t="str">
        <f t="shared" si="112"/>
        <v>Simples</v>
      </c>
      <c r="N79" s="233" t="str">
        <f t="shared" si="113"/>
        <v/>
      </c>
      <c r="O79" s="234" t="str">
        <f t="shared" si="114"/>
        <v>Simples</v>
      </c>
      <c r="P79" s="235">
        <f t="shared" si="115"/>
        <v>3</v>
      </c>
      <c r="Q79" s="235">
        <f t="shared" si="116"/>
        <v>0</v>
      </c>
      <c r="R79" s="234">
        <f t="shared" si="117"/>
        <v>3</v>
      </c>
      <c r="S79" s="234">
        <f t="shared" si="118"/>
        <v>3</v>
      </c>
      <c r="T79" s="236" t="s">
        <v>362</v>
      </c>
      <c r="U79" s="236"/>
      <c r="W79" s="184"/>
      <c r="X79" s="56"/>
      <c r="Y79" s="155">
        <f>IF(X79&lt;&gt;"",VLOOKUP(X79,'Tipo Projeto'!$A$3:$B$44,2,0),0)</f>
        <v>0</v>
      </c>
      <c r="Z79" s="44"/>
      <c r="AA79" s="57"/>
      <c r="AB79" s="170"/>
      <c r="AC79" s="174"/>
      <c r="AD79" s="165"/>
      <c r="AE79" s="171" t="str">
        <f t="shared" si="119"/>
        <v/>
      </c>
      <c r="AF79" s="45" t="str">
        <f t="shared" si="120"/>
        <v/>
      </c>
      <c r="AG79" s="175" t="str">
        <f t="shared" si="121"/>
        <v/>
      </c>
      <c r="AH79" s="176">
        <f t="shared" si="122"/>
        <v>0</v>
      </c>
      <c r="AI79" s="176">
        <f t="shared" si="123"/>
        <v>0</v>
      </c>
      <c r="AJ79" s="185">
        <f t="shared" si="124"/>
        <v>0</v>
      </c>
      <c r="AK79" s="44"/>
      <c r="AM79" s="44"/>
      <c r="AO79" s="44"/>
      <c r="AP79" s="44" t="str">
        <f t="shared" si="125"/>
        <v/>
      </c>
    </row>
    <row r="80" spans="2:42" s="46" customFormat="1" ht="18.75" customHeight="1">
      <c r="B80" s="226" t="s">
        <v>73</v>
      </c>
      <c r="C80" s="227">
        <f>IF(B80&lt;&gt;"",VLOOKUP(B80,'Tipo Projeto'!$A$3:$B$44,2,0),0)</f>
        <v>1</v>
      </c>
      <c r="D80" s="228" t="s">
        <v>355</v>
      </c>
      <c r="E80" s="236"/>
      <c r="F80" s="233" t="s">
        <v>329</v>
      </c>
      <c r="G80" s="228" t="s">
        <v>78</v>
      </c>
      <c r="H80" s="229"/>
      <c r="I80" s="230">
        <v>3</v>
      </c>
      <c r="J80" s="225" t="s">
        <v>272</v>
      </c>
      <c r="K80" s="231">
        <v>1</v>
      </c>
      <c r="L80" s="237" t="s">
        <v>465</v>
      </c>
      <c r="M80" s="232" t="str">
        <f t="shared" si="112"/>
        <v>Simples</v>
      </c>
      <c r="N80" s="233" t="str">
        <f t="shared" si="113"/>
        <v/>
      </c>
      <c r="O80" s="234" t="str">
        <f t="shared" si="114"/>
        <v>Simples</v>
      </c>
      <c r="P80" s="235">
        <f t="shared" si="115"/>
        <v>3</v>
      </c>
      <c r="Q80" s="235">
        <f t="shared" si="116"/>
        <v>0</v>
      </c>
      <c r="R80" s="234">
        <f t="shared" si="117"/>
        <v>3</v>
      </c>
      <c r="S80" s="234">
        <f t="shared" si="118"/>
        <v>3</v>
      </c>
      <c r="T80" s="236" t="s">
        <v>362</v>
      </c>
      <c r="U80" s="236"/>
      <c r="W80" s="184"/>
      <c r="X80" s="56"/>
      <c r="Y80" s="155">
        <f>IF(X80&lt;&gt;"",VLOOKUP(X80,'Tipo Projeto'!$A$3:$B$44,2,0),0)</f>
        <v>0</v>
      </c>
      <c r="Z80" s="44"/>
      <c r="AA80" s="57"/>
      <c r="AB80" s="170"/>
      <c r="AC80" s="174"/>
      <c r="AD80" s="165"/>
      <c r="AE80" s="171" t="str">
        <f t="shared" si="119"/>
        <v/>
      </c>
      <c r="AF80" s="45" t="str">
        <f t="shared" si="120"/>
        <v/>
      </c>
      <c r="AG80" s="175" t="str">
        <f t="shared" si="121"/>
        <v/>
      </c>
      <c r="AH80" s="176">
        <f t="shared" si="122"/>
        <v>0</v>
      </c>
      <c r="AI80" s="176">
        <f t="shared" si="123"/>
        <v>0</v>
      </c>
      <c r="AJ80" s="185">
        <f t="shared" si="124"/>
        <v>0</v>
      </c>
      <c r="AK80" s="44"/>
      <c r="AM80" s="44"/>
      <c r="AO80" s="44"/>
      <c r="AP80" s="44" t="str">
        <f t="shared" si="125"/>
        <v/>
      </c>
    </row>
    <row r="81" spans="2:42" s="46" customFormat="1" ht="18.75" customHeight="1">
      <c r="B81" s="226" t="s">
        <v>73</v>
      </c>
      <c r="C81" s="227">
        <f>IF(B81&lt;&gt;"",VLOOKUP(B81,'Tipo Projeto'!$A$3:$B$44,2,0),0)</f>
        <v>1</v>
      </c>
      <c r="D81" s="228" t="s">
        <v>355</v>
      </c>
      <c r="E81" s="236"/>
      <c r="F81" s="233" t="s">
        <v>330</v>
      </c>
      <c r="G81" s="228" t="s">
        <v>79</v>
      </c>
      <c r="H81" s="229"/>
      <c r="I81" s="230">
        <v>3</v>
      </c>
      <c r="J81" s="225" t="s">
        <v>335</v>
      </c>
      <c r="K81" s="231">
        <v>4</v>
      </c>
      <c r="L81" s="237" t="s">
        <v>452</v>
      </c>
      <c r="M81" s="232" t="str">
        <f t="shared" si="112"/>
        <v>Médio</v>
      </c>
      <c r="N81" s="233" t="str">
        <f t="shared" si="113"/>
        <v/>
      </c>
      <c r="O81" s="234" t="str">
        <f t="shared" si="114"/>
        <v>Médio</v>
      </c>
      <c r="P81" s="235">
        <f t="shared" si="115"/>
        <v>4</v>
      </c>
      <c r="Q81" s="235">
        <f t="shared" si="116"/>
        <v>0</v>
      </c>
      <c r="R81" s="234">
        <f t="shared" si="117"/>
        <v>4</v>
      </c>
      <c r="S81" s="234">
        <f t="shared" si="118"/>
        <v>4</v>
      </c>
      <c r="T81" s="236" t="s">
        <v>362</v>
      </c>
      <c r="U81" s="236"/>
      <c r="W81" s="184"/>
      <c r="X81" s="56"/>
      <c r="Y81" s="155">
        <f>IF(X81&lt;&gt;"",VLOOKUP(X81,'Tipo Projeto'!$A$3:$B$44,2,0),0)</f>
        <v>0</v>
      </c>
      <c r="Z81" s="44"/>
      <c r="AA81" s="57"/>
      <c r="AB81" s="170"/>
      <c r="AC81" s="174"/>
      <c r="AD81" s="165"/>
      <c r="AE81" s="171" t="str">
        <f t="shared" si="119"/>
        <v/>
      </c>
      <c r="AF81" s="45" t="str">
        <f t="shared" si="120"/>
        <v/>
      </c>
      <c r="AG81" s="175" t="str">
        <f t="shared" si="121"/>
        <v/>
      </c>
      <c r="AH81" s="176">
        <f t="shared" si="122"/>
        <v>0</v>
      </c>
      <c r="AI81" s="176">
        <f t="shared" si="123"/>
        <v>0</v>
      </c>
      <c r="AJ81" s="185">
        <f t="shared" si="124"/>
        <v>0</v>
      </c>
      <c r="AK81" s="44"/>
      <c r="AM81" s="44"/>
      <c r="AO81" s="44"/>
      <c r="AP81" s="44" t="str">
        <f t="shared" si="125"/>
        <v/>
      </c>
    </row>
    <row r="82" spans="2:42" s="46" customFormat="1" ht="18.75" customHeight="1">
      <c r="B82" s="226" t="s">
        <v>73</v>
      </c>
      <c r="C82" s="227">
        <f>IF(B82&lt;&gt;"",VLOOKUP(B82,'Tipo Projeto'!$A$3:$B$44,2,0),0)</f>
        <v>1</v>
      </c>
      <c r="D82" s="228" t="s">
        <v>355</v>
      </c>
      <c r="E82" s="236"/>
      <c r="F82" s="233" t="s">
        <v>331</v>
      </c>
      <c r="G82" s="228" t="s">
        <v>78</v>
      </c>
      <c r="H82" s="229"/>
      <c r="I82" s="230">
        <v>4</v>
      </c>
      <c r="J82" s="225" t="s">
        <v>336</v>
      </c>
      <c r="K82" s="231">
        <v>1</v>
      </c>
      <c r="L82" s="237" t="s">
        <v>465</v>
      </c>
      <c r="M82" s="232" t="str">
        <f t="shared" ref="M82:M92" si="140">IF(G82="EE",IF(OR(AND(OR(K82=1,K82=0),I82&gt;0,I82&lt;5),AND(OR(K82=1,K82=0),I82&gt;4,I82&lt;16),AND(K82=2,I82&gt;0,I82&lt;5)),"Simples",IF(OR(AND(OR(K82=1,K82=0),I82&gt;15),AND(K82=2,I82&gt;4,I82&lt;16),AND(K82&gt;2,I82&gt;0,I82&lt;5)),"Médio",IF(OR(AND(K82=2,I82&gt;15),AND(K82&gt;2,I82&gt;4,I82&lt;16),AND(K82&gt;2,I82&gt;15)),"Complexo",""))),
IF(OR(G82="CE",G82="SE"),IF(OR(AND(OR(K82=1,K82=0),I82&gt;0,I82&lt;6),AND(OR(K82=1,K82=0),I82&gt;5,I82&lt;20),AND(K82&gt;1,K82&lt;4,I82&gt;0,I82&lt;6)),"Simples",IF(OR(AND(OR(K82=1,K82=0),I82&gt;19),AND(K82&gt;1,K82&lt;4,I82&gt;5,I82&lt;20),AND(K82&gt;3,I82&gt;0,I82&lt;6)),"Médio",IF(OR(AND(K82&gt;1,K82&lt;4,I82&gt;19),AND(K82&gt;3,I82&gt;5,I82&lt;20),AND(K82&gt;3,I82&gt;19)),"Complexo",""))),""))</f>
        <v>Simples</v>
      </c>
      <c r="N82" s="233" t="str">
        <f t="shared" ref="N82:N92" si="141">IF(G82="ALI",IF(OR(AND(OR(K82=1,K82=0),I82&gt;0,I82&lt;20),AND(OR(K82=1,K82=0),I82&gt;19,I82&lt;51),AND(K82&gt;1,K82&lt;6,I82&gt;0,I82&lt;20)),"Simples",IF(OR(AND(OR(K82=1,K82=0),I82&gt;50),AND(K82&gt;1,K82&lt;6,I82&gt;19,I82&lt;51),AND(K82&gt;5,I82&gt;0,I82&lt;20)),"Médio",IF(OR(AND(K82&gt;1,K82&lt;6,I82&gt;50),AND(K82&gt;5,I82&gt;19,I82&lt;51),AND(K82&gt;5,I82&gt;50)),"Complexo",""))),
IF(G82="AIE",IF(OR(AND(OR(K82=1, K82=0),I82&gt;0,I82&lt;20),AND(OR(K82=1, K82=0),I82&gt;19,I82&lt;51),AND(K82&gt;1,K82&lt;6,I82&gt;0,I82&lt;20)),"Simples",IF(OR(AND(OR(K82=1, K82=0),I82&gt;50),AND(K82&gt;1,K82&lt;6,I82&gt;19,I82&lt;51),AND(K82&gt;5,I82&gt;0,I82&lt;20)),"Médio",IF(OR(AND(K82&gt;1,K82&lt;6,I82&gt;50),AND(K82&gt;5,I82&gt;19,I82&lt;51),AND(K82&gt;5,I82&gt;50)),"Complexo",""))),""))</f>
        <v/>
      </c>
      <c r="O82" s="234" t="str">
        <f t="shared" ref="O82:O92" si="142">IF(M82="",N82,IF(N82="",M82,""))</f>
        <v>Simples</v>
      </c>
      <c r="P82" s="235">
        <f t="shared" ref="P82:P92" si="143">IF(AND(OR(G82="EE",G82="CE"),O82="Simples"),3,
IF(AND(OR(G82="EE",G82="CE"),O82="Médio"),4,
IF(AND(OR(G82="EE",G82="CE"),O82="Complexo"),6,
IF(AND(G82="SE",O82="Simples"),4,
IF(AND(G82="SE",O82="Médio"),5,
IF(AND(G82="SE",O82="Complexo"),7,0))))))</f>
        <v>3</v>
      </c>
      <c r="Q82" s="235">
        <f t="shared" ref="Q82:Q92" si="144">IF(AND(G82="ALI",N82="Simples"),7,
IF(AND(G82="ALI",N82="Médio"),10,
IF(AND(G82="ALI",N82="Complexo"),15,
IF(AND(G82="AIE",N82="Simples"),5,
IF(AND(G82="AIE",N82="Médio"),7,
IF(AND(G82="AIE",N82="Complexo"),10,0))))))</f>
        <v>0</v>
      </c>
      <c r="R82" s="234">
        <f t="shared" ref="R82:R92" si="145">IF(G82="INM",C82*H82,IF(AND(OR(G82="EE",G82="CE"),O82="Simples"),3,
IF(AND(OR(G82="EE",G82="CE"),O82="Médio"),4,
IF(AND(OR(G82="EE",G82="CE"),O82="Complexo"),6,
IF(AND(G82="SE",O82="Simples"),4,
IF(AND(G82="SE",O82="Médio"),5,
IF(AND(G82="SE",O82="Complexo"),7,
IF(AND(G82="ALI",O82="Médio"),10,
IF(AND(G82="ALI",O82="Simples"),7,
IF(AND(G82="ALI",O82="Complexo"),15,
IF(AND(G82="AIE",O82="Simples"),5,
IF(AND(G82="AIE",O82="Médio"),7,
IF(AND(G82="AIE",O82="Complexo"),10,0))
)))))))))))</f>
        <v>3</v>
      </c>
      <c r="S82" s="234">
        <f t="shared" ref="S82:S92" si="146">IF(G82="INM",C82*H82,IF(B82&lt;&gt;"Manutenção em interface",IF(B82&lt;&gt;"Desenv., Manutenção e Publicação de Páginas Estáticas",(P82+Q82)*C82,C82),C82))</f>
        <v>3</v>
      </c>
      <c r="T82" s="236" t="s">
        <v>362</v>
      </c>
      <c r="U82" s="236"/>
      <c r="W82" s="184"/>
      <c r="X82" s="56"/>
      <c r="Y82" s="155">
        <f>IF(X82&lt;&gt;"",VLOOKUP(X82,'Tipo Projeto'!$A$3:$B$44,2,0),0)</f>
        <v>0</v>
      </c>
      <c r="Z82" s="44"/>
      <c r="AA82" s="57"/>
      <c r="AB82" s="170"/>
      <c r="AC82" s="174"/>
      <c r="AD82" s="165"/>
      <c r="AE82" s="171" t="str">
        <f t="shared" ref="AE82:AE92" si="147">IF(Z82="EE",IF(OR(AND(OR(AC82=1,AC82=0),AA82&gt;0,AA82&lt;5),AND(OR(AC82=1,AC82=0),AA82&gt;4,AA82&lt;16),AND(AC82=2,AA82&gt;0,AA82&lt;5)),"Simples",IF(OR(AND(OR(AC82=1,AC82=0),AA82&gt;15),AND(AC82=2,AA82&gt;4,AA82&lt;16),AND(AC82&gt;2,AA82&gt;0,AA82&lt;5)),"Médio",IF(OR(AND(AC82=2,AA82&gt;15),AND(AC82&gt;2,AA82&gt;4,AA82&lt;16),AND(AC82&gt;2,AA82&gt;15)),"Complexo",""))),
IF(OR(Z82="CE",Z82="SE"),IF(OR(AND(OR(AC82=1,AC82=0),AA82&gt;0,AA82&lt;6),AND(OR(AC82=1,AC82=0),AA82&gt;5,AA82&lt;20),AND(AC82&gt;1,AC82&lt;4,AA82&gt;0,AA82&lt;6)),"Simples",IF(OR(AND(OR(AC82=1,AC82=0),AA82&gt;19),AND(AC82&gt;1,AC82&lt;4,AA82&gt;5,AA82&lt;20),AND(AC82&gt;3,AA82&gt;0,AA82&lt;6)),"Médio",IF(OR(AND(AC82&gt;1,AC82&lt;4,AA82&gt;19),AND(AC82&gt;3,AA82&gt;5,AA82&lt;20),AND(AC82&gt;3,AA82&gt;19)),"Complexo",""))),""))</f>
        <v/>
      </c>
      <c r="AF82" s="45" t="str">
        <f t="shared" ref="AF82:AF92" si="148">IF(Z82="ALI",IF(OR(AND(OR(AC82=1,AC82=0),AA82&gt;0,AA82&lt;20),AND(OR(AC82=1,AC82=0),AA82&gt;19,AA82&lt;51),AND(AC82&gt;1,AC82&lt;6,AA82&gt;0,AA82&lt;20)),"Simples",IF(OR(AND(OR(AC82=1,AC82=0),AA82&gt;50),AND(AC82&gt;1,AC82&lt;6,AA82&gt;19,AA82&lt;51),AND(AC82&gt;5,AA82&gt;0,AA82&lt;20)),"Médio",IF(OR(AND(AC82&gt;1,AC82&lt;6,AA82&gt;50),AND(AC82&gt;5,AA82&gt;19,AA82&lt;51),AND(AC82&gt;5,AA82&gt;50)),"Complexo",""))),
IF(Z82="AIE",IF(OR(AND(OR(AC82=1, AC82=0),AA82&gt;0,AA82&lt;20),AND(OR(AC82=1, AC82=0),AA82&gt;19,AA82&lt;51),AND(AC82&gt;1,AC82&lt;6,AA82&gt;0,AA82&lt;20)),"Simples",IF(OR(AND(OR(AC82=1, AC82=0),AA82&gt;50),AND(AC82&gt;1,AC82&lt;6,AA82&gt;19,AA82&lt;51),AND(AC82&gt;5,AA82&gt;0,AA82&lt;20)),"Médio",IF(OR(AND(AC82&gt;1,AC82&lt;6,AA82&gt;50),AND(AC82&gt;5,AA82&gt;19,AA82&lt;51),AND(AC82&gt;5,AA82&gt;50)),"Complexo",""))),""))</f>
        <v/>
      </c>
      <c r="AG82" s="175" t="str">
        <f t="shared" ref="AG82:AG92" si="149">IF(AE82="",AF82,IF(AF82="",AE82,""))</f>
        <v/>
      </c>
      <c r="AH82" s="176">
        <f t="shared" ref="AH82:AH92" si="150">IF(AND(OR(Z82="EE",Z82="CE"),AG82="Simples"),3,
IF(AND(OR(Z82="EE",Z82="CE"),AG82="Médio"),4,
IF(AND(OR(Z82="EE",Z82="CE"),AG82="Complexo"),6,
IF(AND(Z82="SE",AG82="Simples"),4,
IF(AND(Z82="SE",AG82="Médio"),5,
IF(AND(Z82="SE",AG82="Complexo"),7,0))))))</f>
        <v>0</v>
      </c>
      <c r="AI82" s="176">
        <f t="shared" ref="AI82:AI92" si="151">IF(AND(Z82="ALI",AF82="Simples"),7,
IF(AND(Z82="ALI",AF82="Médio"),10,
IF(AND(Z82="ALI",AF82="Complexo"),15,
IF(AND(Z82="AIE",AF82="Simples"),5,
IF(AND(Z82="AIE",AF82="Médio"),7,
IF(AND(Z82="AIE",AF82="Complexo"),10,0))))))</f>
        <v>0</v>
      </c>
      <c r="AJ82" s="185">
        <f t="shared" ref="AJ82:AJ92" si="152">IF(W82="OK",S82,(
IF(X82&lt;&gt;"Manutenção em interface",IF(X82&lt;&gt;"Desenv., Manutenção e Publicação de Páginas Estáticas",(AH82+AI82)*Y82,Y82),Y82)))</f>
        <v>0</v>
      </c>
      <c r="AK82" s="44"/>
      <c r="AM82" s="44"/>
      <c r="AO82" s="44"/>
      <c r="AP82" s="44" t="str">
        <f t="shared" ref="AP82:AP92" si="153">IF(AJ82=0,"",IF(AJ82=S82,"OK","Divergente"))</f>
        <v/>
      </c>
    </row>
    <row r="83" spans="2:42" s="46" customFormat="1" ht="18.75" customHeight="1">
      <c r="B83" s="226" t="s">
        <v>73</v>
      </c>
      <c r="C83" s="227">
        <f>IF(B83&lt;&gt;"",VLOOKUP(B83,'Tipo Projeto'!$A$3:$B$44,2,0),0)</f>
        <v>1</v>
      </c>
      <c r="D83" s="228" t="s">
        <v>355</v>
      </c>
      <c r="E83" s="236"/>
      <c r="F83" s="233" t="s">
        <v>332</v>
      </c>
      <c r="G83" s="228" t="s">
        <v>79</v>
      </c>
      <c r="H83" s="229"/>
      <c r="I83" s="230">
        <v>3</v>
      </c>
      <c r="J83" s="225" t="s">
        <v>337</v>
      </c>
      <c r="K83" s="231">
        <v>4</v>
      </c>
      <c r="L83" s="237" t="s">
        <v>452</v>
      </c>
      <c r="M83" s="232" t="str">
        <f t="shared" si="140"/>
        <v>Médio</v>
      </c>
      <c r="N83" s="233" t="str">
        <f t="shared" si="141"/>
        <v/>
      </c>
      <c r="O83" s="234" t="str">
        <f t="shared" si="142"/>
        <v>Médio</v>
      </c>
      <c r="P83" s="235">
        <f t="shared" si="143"/>
        <v>4</v>
      </c>
      <c r="Q83" s="235">
        <f t="shared" si="144"/>
        <v>0</v>
      </c>
      <c r="R83" s="234">
        <f t="shared" si="145"/>
        <v>4</v>
      </c>
      <c r="S83" s="234">
        <f t="shared" si="146"/>
        <v>4</v>
      </c>
      <c r="T83" s="236" t="s">
        <v>362</v>
      </c>
      <c r="U83" s="236"/>
      <c r="W83" s="184"/>
      <c r="X83" s="56"/>
      <c r="Y83" s="155">
        <f>IF(X83&lt;&gt;"",VLOOKUP(X83,'Tipo Projeto'!$A$3:$B$44,2,0),0)</f>
        <v>0</v>
      </c>
      <c r="Z83" s="44"/>
      <c r="AA83" s="57"/>
      <c r="AB83" s="170"/>
      <c r="AC83" s="174"/>
      <c r="AD83" s="165"/>
      <c r="AE83" s="171" t="str">
        <f t="shared" si="147"/>
        <v/>
      </c>
      <c r="AF83" s="45" t="str">
        <f t="shared" si="148"/>
        <v/>
      </c>
      <c r="AG83" s="175" t="str">
        <f t="shared" si="149"/>
        <v/>
      </c>
      <c r="AH83" s="176">
        <f t="shared" si="150"/>
        <v>0</v>
      </c>
      <c r="AI83" s="176">
        <f t="shared" si="151"/>
        <v>0</v>
      </c>
      <c r="AJ83" s="185">
        <f t="shared" si="152"/>
        <v>0</v>
      </c>
      <c r="AK83" s="44"/>
      <c r="AM83" s="44"/>
      <c r="AO83" s="44"/>
      <c r="AP83" s="44" t="str">
        <f t="shared" si="153"/>
        <v/>
      </c>
    </row>
    <row r="84" spans="2:42" s="46" customFormat="1" ht="18.75" customHeight="1">
      <c r="B84" s="226" t="s">
        <v>73</v>
      </c>
      <c r="C84" s="227">
        <f>IF(B84&lt;&gt;"",VLOOKUP(B84,'Tipo Projeto'!$A$3:$B$44,2,0),0)</f>
        <v>1</v>
      </c>
      <c r="D84" s="228" t="s">
        <v>355</v>
      </c>
      <c r="E84" s="236"/>
      <c r="F84" s="233" t="s">
        <v>333</v>
      </c>
      <c r="G84" s="228" t="s">
        <v>78</v>
      </c>
      <c r="H84" s="229"/>
      <c r="I84" s="230">
        <v>4</v>
      </c>
      <c r="J84" s="225" t="s">
        <v>336</v>
      </c>
      <c r="K84" s="231">
        <v>1</v>
      </c>
      <c r="L84" s="237" t="s">
        <v>465</v>
      </c>
      <c r="M84" s="232" t="str">
        <f t="shared" si="140"/>
        <v>Simples</v>
      </c>
      <c r="N84" s="233" t="str">
        <f t="shared" si="141"/>
        <v/>
      </c>
      <c r="O84" s="234" t="str">
        <f t="shared" si="142"/>
        <v>Simples</v>
      </c>
      <c r="P84" s="235">
        <f t="shared" si="143"/>
        <v>3</v>
      </c>
      <c r="Q84" s="235">
        <f t="shared" si="144"/>
        <v>0</v>
      </c>
      <c r="R84" s="234">
        <f t="shared" si="145"/>
        <v>3</v>
      </c>
      <c r="S84" s="234">
        <f t="shared" si="146"/>
        <v>3</v>
      </c>
      <c r="T84" s="236" t="s">
        <v>362</v>
      </c>
      <c r="U84" s="236"/>
      <c r="W84" s="184"/>
      <c r="X84" s="56"/>
      <c r="Y84" s="155">
        <f>IF(X84&lt;&gt;"",VLOOKUP(X84,'Tipo Projeto'!$A$3:$B$44,2,0),0)</f>
        <v>0</v>
      </c>
      <c r="Z84" s="44"/>
      <c r="AA84" s="57"/>
      <c r="AB84" s="170"/>
      <c r="AC84" s="174"/>
      <c r="AD84" s="165"/>
      <c r="AE84" s="171" t="str">
        <f t="shared" si="147"/>
        <v/>
      </c>
      <c r="AF84" s="45" t="str">
        <f t="shared" si="148"/>
        <v/>
      </c>
      <c r="AG84" s="175" t="str">
        <f t="shared" si="149"/>
        <v/>
      </c>
      <c r="AH84" s="176">
        <f t="shared" si="150"/>
        <v>0</v>
      </c>
      <c r="AI84" s="176">
        <f t="shared" si="151"/>
        <v>0</v>
      </c>
      <c r="AJ84" s="185">
        <f t="shared" si="152"/>
        <v>0</v>
      </c>
      <c r="AK84" s="44"/>
      <c r="AM84" s="44"/>
      <c r="AO84" s="44"/>
      <c r="AP84" s="44" t="str">
        <f t="shared" si="153"/>
        <v/>
      </c>
    </row>
    <row r="85" spans="2:42" s="46" customFormat="1" ht="18.75" customHeight="1">
      <c r="B85" s="226" t="s">
        <v>73</v>
      </c>
      <c r="C85" s="227">
        <f>IF(B85&lt;&gt;"",VLOOKUP(B85,'Tipo Projeto'!$A$3:$B$44,2,0),0)</f>
        <v>1</v>
      </c>
      <c r="D85" s="228" t="s">
        <v>355</v>
      </c>
      <c r="E85" s="236"/>
      <c r="F85" s="233" t="s">
        <v>334</v>
      </c>
      <c r="G85" s="228" t="s">
        <v>78</v>
      </c>
      <c r="H85" s="229"/>
      <c r="I85" s="230">
        <v>3</v>
      </c>
      <c r="J85" s="225" t="s">
        <v>272</v>
      </c>
      <c r="K85" s="231">
        <v>1</v>
      </c>
      <c r="L85" s="237" t="s">
        <v>465</v>
      </c>
      <c r="M85" s="232" t="str">
        <f t="shared" si="140"/>
        <v>Simples</v>
      </c>
      <c r="N85" s="233" t="str">
        <f t="shared" si="141"/>
        <v/>
      </c>
      <c r="O85" s="234" t="str">
        <f t="shared" si="142"/>
        <v>Simples</v>
      </c>
      <c r="P85" s="235">
        <f t="shared" si="143"/>
        <v>3</v>
      </c>
      <c r="Q85" s="235">
        <f t="shared" si="144"/>
        <v>0</v>
      </c>
      <c r="R85" s="234">
        <f t="shared" si="145"/>
        <v>3</v>
      </c>
      <c r="S85" s="234">
        <f t="shared" si="146"/>
        <v>3</v>
      </c>
      <c r="T85" s="236" t="s">
        <v>362</v>
      </c>
      <c r="U85" s="236"/>
      <c r="W85" s="184"/>
      <c r="X85" s="56"/>
      <c r="Y85" s="155">
        <f>IF(X85&lt;&gt;"",VLOOKUP(X85,'Tipo Projeto'!$A$3:$B$44,2,0),0)</f>
        <v>0</v>
      </c>
      <c r="Z85" s="44"/>
      <c r="AA85" s="57"/>
      <c r="AB85" s="170"/>
      <c r="AC85" s="174"/>
      <c r="AD85" s="165"/>
      <c r="AE85" s="171" t="str">
        <f t="shared" si="147"/>
        <v/>
      </c>
      <c r="AF85" s="45" t="str">
        <f t="shared" si="148"/>
        <v/>
      </c>
      <c r="AG85" s="175" t="str">
        <f t="shared" si="149"/>
        <v/>
      </c>
      <c r="AH85" s="176">
        <f t="shared" si="150"/>
        <v>0</v>
      </c>
      <c r="AI85" s="176">
        <f t="shared" si="151"/>
        <v>0</v>
      </c>
      <c r="AJ85" s="185">
        <f t="shared" si="152"/>
        <v>0</v>
      </c>
      <c r="AK85" s="44"/>
      <c r="AM85" s="44"/>
      <c r="AO85" s="44"/>
      <c r="AP85" s="44" t="str">
        <f t="shared" si="153"/>
        <v/>
      </c>
    </row>
    <row r="86" spans="2:42" s="46" customFormat="1" ht="18.75" customHeight="1">
      <c r="B86" s="226" t="s">
        <v>73</v>
      </c>
      <c r="C86" s="227">
        <f>IF(B86&lt;&gt;"",VLOOKUP(B86,'Tipo Projeto'!$A$3:$B$44,2,0),0)</f>
        <v>1</v>
      </c>
      <c r="D86" s="228" t="s">
        <v>355</v>
      </c>
      <c r="E86" s="236"/>
      <c r="F86" s="233" t="s">
        <v>338</v>
      </c>
      <c r="G86" s="228" t="s">
        <v>79</v>
      </c>
      <c r="H86" s="229"/>
      <c r="I86" s="230">
        <v>6</v>
      </c>
      <c r="J86" s="225" t="s">
        <v>343</v>
      </c>
      <c r="K86" s="231">
        <v>4</v>
      </c>
      <c r="L86" s="237" t="s">
        <v>452</v>
      </c>
      <c r="M86" s="232" t="str">
        <f t="shared" si="140"/>
        <v>Complexo</v>
      </c>
      <c r="N86" s="233" t="str">
        <f t="shared" si="141"/>
        <v/>
      </c>
      <c r="O86" s="234" t="str">
        <f t="shared" si="142"/>
        <v>Complexo</v>
      </c>
      <c r="P86" s="235">
        <f t="shared" si="143"/>
        <v>6</v>
      </c>
      <c r="Q86" s="235">
        <f t="shared" si="144"/>
        <v>0</v>
      </c>
      <c r="R86" s="234">
        <f t="shared" si="145"/>
        <v>6</v>
      </c>
      <c r="S86" s="234">
        <f t="shared" si="146"/>
        <v>6</v>
      </c>
      <c r="T86" s="236" t="s">
        <v>362</v>
      </c>
      <c r="U86" s="236"/>
      <c r="W86" s="184"/>
      <c r="X86" s="56"/>
      <c r="Y86" s="155">
        <f>IF(X86&lt;&gt;"",VLOOKUP(X86,'Tipo Projeto'!$A$3:$B$44,2,0),0)</f>
        <v>0</v>
      </c>
      <c r="Z86" s="44"/>
      <c r="AA86" s="57"/>
      <c r="AB86" s="170"/>
      <c r="AC86" s="174"/>
      <c r="AD86" s="165"/>
      <c r="AE86" s="171" t="str">
        <f t="shared" si="147"/>
        <v/>
      </c>
      <c r="AF86" s="45" t="str">
        <f t="shared" si="148"/>
        <v/>
      </c>
      <c r="AG86" s="175" t="str">
        <f t="shared" si="149"/>
        <v/>
      </c>
      <c r="AH86" s="176">
        <f t="shared" si="150"/>
        <v>0</v>
      </c>
      <c r="AI86" s="176">
        <f t="shared" si="151"/>
        <v>0</v>
      </c>
      <c r="AJ86" s="185">
        <f t="shared" si="152"/>
        <v>0</v>
      </c>
      <c r="AK86" s="44"/>
      <c r="AM86" s="44"/>
      <c r="AO86" s="44"/>
      <c r="AP86" s="44" t="str">
        <f t="shared" si="153"/>
        <v/>
      </c>
    </row>
    <row r="87" spans="2:42" s="46" customFormat="1" ht="18.75" customHeight="1">
      <c r="B87" s="226" t="s">
        <v>73</v>
      </c>
      <c r="C87" s="227">
        <f>IF(B87&lt;&gt;"",VLOOKUP(B87,'Tipo Projeto'!$A$3:$B$44,2,0),0)</f>
        <v>1</v>
      </c>
      <c r="D87" s="228" t="s">
        <v>355</v>
      </c>
      <c r="E87" s="236"/>
      <c r="F87" s="233" t="s">
        <v>339</v>
      </c>
      <c r="G87" s="228" t="s">
        <v>78</v>
      </c>
      <c r="H87" s="229"/>
      <c r="I87" s="230">
        <v>7</v>
      </c>
      <c r="J87" s="225" t="s">
        <v>344</v>
      </c>
      <c r="K87" s="231">
        <v>1</v>
      </c>
      <c r="L87" s="237" t="s">
        <v>465</v>
      </c>
      <c r="M87" s="232" t="str">
        <f t="shared" si="140"/>
        <v>Simples</v>
      </c>
      <c r="N87" s="233" t="str">
        <f t="shared" si="141"/>
        <v/>
      </c>
      <c r="O87" s="234" t="str">
        <f t="shared" si="142"/>
        <v>Simples</v>
      </c>
      <c r="P87" s="235">
        <f t="shared" si="143"/>
        <v>3</v>
      </c>
      <c r="Q87" s="235">
        <f t="shared" si="144"/>
        <v>0</v>
      </c>
      <c r="R87" s="234">
        <f t="shared" si="145"/>
        <v>3</v>
      </c>
      <c r="S87" s="234">
        <f t="shared" si="146"/>
        <v>3</v>
      </c>
      <c r="T87" s="236" t="s">
        <v>362</v>
      </c>
      <c r="U87" s="236"/>
      <c r="W87" s="184"/>
      <c r="X87" s="56"/>
      <c r="Y87" s="155">
        <f>IF(X87&lt;&gt;"",VLOOKUP(X87,'Tipo Projeto'!$A$3:$B$44,2,0),0)</f>
        <v>0</v>
      </c>
      <c r="Z87" s="44"/>
      <c r="AA87" s="57"/>
      <c r="AB87" s="170"/>
      <c r="AC87" s="174"/>
      <c r="AD87" s="165"/>
      <c r="AE87" s="171" t="str">
        <f t="shared" si="147"/>
        <v/>
      </c>
      <c r="AF87" s="45" t="str">
        <f t="shared" si="148"/>
        <v/>
      </c>
      <c r="AG87" s="175" t="str">
        <f t="shared" si="149"/>
        <v/>
      </c>
      <c r="AH87" s="176">
        <f t="shared" si="150"/>
        <v>0</v>
      </c>
      <c r="AI87" s="176">
        <f t="shared" si="151"/>
        <v>0</v>
      </c>
      <c r="AJ87" s="185">
        <f t="shared" si="152"/>
        <v>0</v>
      </c>
      <c r="AK87" s="44"/>
      <c r="AM87" s="44"/>
      <c r="AO87" s="44"/>
      <c r="AP87" s="44" t="str">
        <f t="shared" si="153"/>
        <v/>
      </c>
    </row>
    <row r="88" spans="2:42" s="46" customFormat="1" ht="18.75" customHeight="1">
      <c r="B88" s="226" t="s">
        <v>73</v>
      </c>
      <c r="C88" s="227">
        <f>IF(B88&lt;&gt;"",VLOOKUP(B88,'Tipo Projeto'!$A$3:$B$44,2,0),0)</f>
        <v>1</v>
      </c>
      <c r="D88" s="228" t="s">
        <v>355</v>
      </c>
      <c r="E88" s="236"/>
      <c r="F88" s="233" t="s">
        <v>340</v>
      </c>
      <c r="G88" s="228" t="s">
        <v>79</v>
      </c>
      <c r="H88" s="229"/>
      <c r="I88" s="230">
        <v>6</v>
      </c>
      <c r="J88" s="225" t="s">
        <v>345</v>
      </c>
      <c r="K88" s="231">
        <v>4</v>
      </c>
      <c r="L88" s="237" t="s">
        <v>452</v>
      </c>
      <c r="M88" s="232" t="str">
        <f t="shared" si="140"/>
        <v>Complexo</v>
      </c>
      <c r="N88" s="233" t="str">
        <f t="shared" si="141"/>
        <v/>
      </c>
      <c r="O88" s="234" t="str">
        <f t="shared" si="142"/>
        <v>Complexo</v>
      </c>
      <c r="P88" s="235">
        <f t="shared" si="143"/>
        <v>6</v>
      </c>
      <c r="Q88" s="235">
        <f t="shared" si="144"/>
        <v>0</v>
      </c>
      <c r="R88" s="234">
        <f t="shared" si="145"/>
        <v>6</v>
      </c>
      <c r="S88" s="234">
        <f t="shared" si="146"/>
        <v>6</v>
      </c>
      <c r="T88" s="236" t="s">
        <v>362</v>
      </c>
      <c r="U88" s="236"/>
      <c r="W88" s="184"/>
      <c r="X88" s="56"/>
      <c r="Y88" s="155">
        <f>IF(X88&lt;&gt;"",VLOOKUP(X88,'Tipo Projeto'!$A$3:$B$44,2,0),0)</f>
        <v>0</v>
      </c>
      <c r="Z88" s="44"/>
      <c r="AA88" s="57"/>
      <c r="AB88" s="170"/>
      <c r="AC88" s="174"/>
      <c r="AD88" s="165"/>
      <c r="AE88" s="171" t="str">
        <f t="shared" si="147"/>
        <v/>
      </c>
      <c r="AF88" s="45" t="str">
        <f t="shared" si="148"/>
        <v/>
      </c>
      <c r="AG88" s="175" t="str">
        <f t="shared" si="149"/>
        <v/>
      </c>
      <c r="AH88" s="176">
        <f t="shared" si="150"/>
        <v>0</v>
      </c>
      <c r="AI88" s="176">
        <f t="shared" si="151"/>
        <v>0</v>
      </c>
      <c r="AJ88" s="185">
        <f t="shared" si="152"/>
        <v>0</v>
      </c>
      <c r="AK88" s="44"/>
      <c r="AM88" s="44"/>
      <c r="AO88" s="44"/>
      <c r="AP88" s="44" t="str">
        <f t="shared" si="153"/>
        <v/>
      </c>
    </row>
    <row r="89" spans="2:42" s="46" customFormat="1" ht="18.75" customHeight="1">
      <c r="B89" s="226" t="s">
        <v>73</v>
      </c>
      <c r="C89" s="227">
        <f>IF(B89&lt;&gt;"",VLOOKUP(B89,'Tipo Projeto'!$A$3:$B$44,2,0),0)</f>
        <v>1</v>
      </c>
      <c r="D89" s="228" t="s">
        <v>355</v>
      </c>
      <c r="E89" s="236"/>
      <c r="F89" s="233" t="s">
        <v>341</v>
      </c>
      <c r="G89" s="228" t="s">
        <v>78</v>
      </c>
      <c r="H89" s="229"/>
      <c r="I89" s="230">
        <v>7</v>
      </c>
      <c r="J89" s="225" t="s">
        <v>344</v>
      </c>
      <c r="K89" s="231">
        <v>1</v>
      </c>
      <c r="L89" s="237" t="s">
        <v>465</v>
      </c>
      <c r="M89" s="232" t="str">
        <f t="shared" si="140"/>
        <v>Simples</v>
      </c>
      <c r="N89" s="233" t="str">
        <f t="shared" si="141"/>
        <v/>
      </c>
      <c r="O89" s="234" t="str">
        <f t="shared" si="142"/>
        <v>Simples</v>
      </c>
      <c r="P89" s="235">
        <f t="shared" si="143"/>
        <v>3</v>
      </c>
      <c r="Q89" s="235">
        <f t="shared" si="144"/>
        <v>0</v>
      </c>
      <c r="R89" s="234">
        <f t="shared" si="145"/>
        <v>3</v>
      </c>
      <c r="S89" s="234">
        <f t="shared" si="146"/>
        <v>3</v>
      </c>
      <c r="T89" s="236" t="s">
        <v>362</v>
      </c>
      <c r="U89" s="236"/>
      <c r="W89" s="184"/>
      <c r="X89" s="56"/>
      <c r="Y89" s="155">
        <f>IF(X89&lt;&gt;"",VLOOKUP(X89,'Tipo Projeto'!$A$3:$B$44,2,0),0)</f>
        <v>0</v>
      </c>
      <c r="Z89" s="44"/>
      <c r="AA89" s="57"/>
      <c r="AB89" s="170"/>
      <c r="AC89" s="174"/>
      <c r="AD89" s="165"/>
      <c r="AE89" s="171" t="str">
        <f t="shared" si="147"/>
        <v/>
      </c>
      <c r="AF89" s="45" t="str">
        <f t="shared" si="148"/>
        <v/>
      </c>
      <c r="AG89" s="175" t="str">
        <f t="shared" si="149"/>
        <v/>
      </c>
      <c r="AH89" s="176">
        <f t="shared" si="150"/>
        <v>0</v>
      </c>
      <c r="AI89" s="176">
        <f t="shared" si="151"/>
        <v>0</v>
      </c>
      <c r="AJ89" s="185">
        <f t="shared" si="152"/>
        <v>0</v>
      </c>
      <c r="AK89" s="44"/>
      <c r="AM89" s="44"/>
      <c r="AO89" s="44"/>
      <c r="AP89" s="44" t="str">
        <f t="shared" si="153"/>
        <v/>
      </c>
    </row>
    <row r="90" spans="2:42" s="46" customFormat="1" ht="18.75" customHeight="1">
      <c r="B90" s="226" t="s">
        <v>73</v>
      </c>
      <c r="C90" s="227">
        <f>IF(B90&lt;&gt;"",VLOOKUP(B90,'Tipo Projeto'!$A$3:$B$44,2,0),0)</f>
        <v>1</v>
      </c>
      <c r="D90" s="228" t="s">
        <v>355</v>
      </c>
      <c r="E90" s="236"/>
      <c r="F90" s="233" t="s">
        <v>342</v>
      </c>
      <c r="G90" s="228" t="s">
        <v>78</v>
      </c>
      <c r="H90" s="229"/>
      <c r="I90" s="230">
        <v>3</v>
      </c>
      <c r="J90" s="225" t="s">
        <v>272</v>
      </c>
      <c r="K90" s="231">
        <v>1</v>
      </c>
      <c r="L90" s="237" t="s">
        <v>465</v>
      </c>
      <c r="M90" s="232" t="str">
        <f t="shared" si="140"/>
        <v>Simples</v>
      </c>
      <c r="N90" s="233" t="str">
        <f t="shared" si="141"/>
        <v/>
      </c>
      <c r="O90" s="234" t="str">
        <f t="shared" si="142"/>
        <v>Simples</v>
      </c>
      <c r="P90" s="235">
        <f t="shared" si="143"/>
        <v>3</v>
      </c>
      <c r="Q90" s="235">
        <f t="shared" si="144"/>
        <v>0</v>
      </c>
      <c r="R90" s="234">
        <f t="shared" si="145"/>
        <v>3</v>
      </c>
      <c r="S90" s="234">
        <f t="shared" si="146"/>
        <v>3</v>
      </c>
      <c r="T90" s="236" t="s">
        <v>362</v>
      </c>
      <c r="U90" s="236"/>
      <c r="W90" s="184"/>
      <c r="X90" s="56"/>
      <c r="Y90" s="155">
        <f>IF(X90&lt;&gt;"",VLOOKUP(X90,'Tipo Projeto'!$A$3:$B$44,2,0),0)</f>
        <v>0</v>
      </c>
      <c r="Z90" s="44"/>
      <c r="AA90" s="57"/>
      <c r="AB90" s="170"/>
      <c r="AC90" s="174"/>
      <c r="AD90" s="165"/>
      <c r="AE90" s="171" t="str">
        <f t="shared" si="147"/>
        <v/>
      </c>
      <c r="AF90" s="45" t="str">
        <f t="shared" si="148"/>
        <v/>
      </c>
      <c r="AG90" s="175" t="str">
        <f t="shared" si="149"/>
        <v/>
      </c>
      <c r="AH90" s="176">
        <f t="shared" si="150"/>
        <v>0</v>
      </c>
      <c r="AI90" s="176">
        <f t="shared" si="151"/>
        <v>0</v>
      </c>
      <c r="AJ90" s="185">
        <f t="shared" si="152"/>
        <v>0</v>
      </c>
      <c r="AK90" s="44"/>
      <c r="AM90" s="44"/>
      <c r="AO90" s="44"/>
      <c r="AP90" s="44" t="str">
        <f t="shared" si="153"/>
        <v/>
      </c>
    </row>
    <row r="91" spans="2:42" s="46" customFormat="1" ht="18.75" customHeight="1">
      <c r="B91" s="226" t="s">
        <v>73</v>
      </c>
      <c r="C91" s="227">
        <f>IF(B91&lt;&gt;"",VLOOKUP(B91,'Tipo Projeto'!$A$3:$B$44,2,0),0)</f>
        <v>1</v>
      </c>
      <c r="D91" s="228" t="s">
        <v>355</v>
      </c>
      <c r="E91" s="236"/>
      <c r="F91" s="233" t="s">
        <v>347</v>
      </c>
      <c r="G91" s="228" t="s">
        <v>79</v>
      </c>
      <c r="H91" s="229"/>
      <c r="I91" s="230">
        <v>6</v>
      </c>
      <c r="J91" s="225" t="s">
        <v>352</v>
      </c>
      <c r="K91" s="231">
        <v>4</v>
      </c>
      <c r="L91" s="237" t="s">
        <v>452</v>
      </c>
      <c r="M91" s="232" t="str">
        <f t="shared" si="140"/>
        <v>Complexo</v>
      </c>
      <c r="N91" s="233" t="str">
        <f t="shared" si="141"/>
        <v/>
      </c>
      <c r="O91" s="234" t="str">
        <f t="shared" si="142"/>
        <v>Complexo</v>
      </c>
      <c r="P91" s="235">
        <f t="shared" si="143"/>
        <v>6</v>
      </c>
      <c r="Q91" s="235">
        <f t="shared" si="144"/>
        <v>0</v>
      </c>
      <c r="R91" s="234">
        <f t="shared" si="145"/>
        <v>6</v>
      </c>
      <c r="S91" s="234">
        <f t="shared" si="146"/>
        <v>6</v>
      </c>
      <c r="T91" s="236" t="s">
        <v>362</v>
      </c>
      <c r="U91" s="236"/>
      <c r="W91" s="184"/>
      <c r="X91" s="56"/>
      <c r="Y91" s="155">
        <f>IF(X91&lt;&gt;"",VLOOKUP(X91,'Tipo Projeto'!$A$3:$B$44,2,0),0)</f>
        <v>0</v>
      </c>
      <c r="Z91" s="44"/>
      <c r="AA91" s="57"/>
      <c r="AB91" s="170"/>
      <c r="AC91" s="174"/>
      <c r="AD91" s="165"/>
      <c r="AE91" s="171" t="str">
        <f t="shared" si="147"/>
        <v/>
      </c>
      <c r="AF91" s="45" t="str">
        <f t="shared" si="148"/>
        <v/>
      </c>
      <c r="AG91" s="175" t="str">
        <f t="shared" si="149"/>
        <v/>
      </c>
      <c r="AH91" s="176">
        <f t="shared" si="150"/>
        <v>0</v>
      </c>
      <c r="AI91" s="176">
        <f t="shared" si="151"/>
        <v>0</v>
      </c>
      <c r="AJ91" s="185">
        <f t="shared" si="152"/>
        <v>0</v>
      </c>
      <c r="AK91" s="44"/>
      <c r="AM91" s="44"/>
      <c r="AO91" s="44"/>
      <c r="AP91" s="44" t="str">
        <f t="shared" si="153"/>
        <v/>
      </c>
    </row>
    <row r="92" spans="2:42" s="46" customFormat="1" ht="18.75" customHeight="1">
      <c r="B92" s="226" t="s">
        <v>73</v>
      </c>
      <c r="C92" s="227">
        <f>IF(B92&lt;&gt;"",VLOOKUP(B92,'Tipo Projeto'!$A$3:$B$44,2,0),0)</f>
        <v>1</v>
      </c>
      <c r="D92" s="228" t="s">
        <v>355</v>
      </c>
      <c r="E92" s="236"/>
      <c r="F92" s="233" t="s">
        <v>346</v>
      </c>
      <c r="G92" s="228" t="s">
        <v>78</v>
      </c>
      <c r="H92" s="229"/>
      <c r="I92" s="230">
        <v>9</v>
      </c>
      <c r="J92" s="225" t="s">
        <v>350</v>
      </c>
      <c r="K92" s="231">
        <v>1</v>
      </c>
      <c r="L92" s="237" t="s">
        <v>465</v>
      </c>
      <c r="M92" s="232" t="str">
        <f t="shared" si="140"/>
        <v>Simples</v>
      </c>
      <c r="N92" s="233" t="str">
        <f t="shared" si="141"/>
        <v/>
      </c>
      <c r="O92" s="234" t="str">
        <f t="shared" si="142"/>
        <v>Simples</v>
      </c>
      <c r="P92" s="235">
        <f t="shared" si="143"/>
        <v>3</v>
      </c>
      <c r="Q92" s="235">
        <f t="shared" si="144"/>
        <v>0</v>
      </c>
      <c r="R92" s="234">
        <f t="shared" si="145"/>
        <v>3</v>
      </c>
      <c r="S92" s="234">
        <f t="shared" si="146"/>
        <v>3</v>
      </c>
      <c r="T92" s="236" t="s">
        <v>362</v>
      </c>
      <c r="U92" s="236"/>
      <c r="W92" s="184"/>
      <c r="X92" s="56"/>
      <c r="Y92" s="155">
        <f>IF(X92&lt;&gt;"",VLOOKUP(X92,'Tipo Projeto'!$A$3:$B$44,2,0),0)</f>
        <v>0</v>
      </c>
      <c r="Z92" s="44"/>
      <c r="AA92" s="57"/>
      <c r="AB92" s="170"/>
      <c r="AC92" s="174"/>
      <c r="AD92" s="165"/>
      <c r="AE92" s="171" t="str">
        <f t="shared" si="147"/>
        <v/>
      </c>
      <c r="AF92" s="45" t="str">
        <f t="shared" si="148"/>
        <v/>
      </c>
      <c r="AG92" s="175" t="str">
        <f t="shared" si="149"/>
        <v/>
      </c>
      <c r="AH92" s="176">
        <f t="shared" si="150"/>
        <v>0</v>
      </c>
      <c r="AI92" s="176">
        <f t="shared" si="151"/>
        <v>0</v>
      </c>
      <c r="AJ92" s="185">
        <f t="shared" si="152"/>
        <v>0</v>
      </c>
      <c r="AK92" s="44"/>
      <c r="AM92" s="44"/>
      <c r="AO92" s="44"/>
      <c r="AP92" s="44" t="str">
        <f t="shared" si="153"/>
        <v/>
      </c>
    </row>
    <row r="93" spans="2:42" s="46" customFormat="1" ht="18.75" customHeight="1">
      <c r="B93" s="226" t="s">
        <v>73</v>
      </c>
      <c r="C93" s="227">
        <f>IF(B93&lt;&gt;"",VLOOKUP(B93,'Tipo Projeto'!$A$3:$B$44,2,0),0)</f>
        <v>1</v>
      </c>
      <c r="D93" s="228" t="s">
        <v>355</v>
      </c>
      <c r="E93" s="236"/>
      <c r="F93" s="233" t="s">
        <v>348</v>
      </c>
      <c r="G93" s="228" t="s">
        <v>79</v>
      </c>
      <c r="H93" s="229"/>
      <c r="I93" s="230">
        <v>8</v>
      </c>
      <c r="J93" s="225" t="s">
        <v>351</v>
      </c>
      <c r="K93" s="231">
        <v>4</v>
      </c>
      <c r="L93" s="237" t="s">
        <v>452</v>
      </c>
      <c r="M93" s="232" t="str">
        <f t="shared" ref="M93:M94" si="154">IF(G93="EE",IF(OR(AND(OR(K93=1,K93=0),I93&gt;0,I93&lt;5),AND(OR(K93=1,K93=0),I93&gt;4,I93&lt;16),AND(K93=2,I93&gt;0,I93&lt;5)),"Simples",IF(OR(AND(OR(K93=1,K93=0),I93&gt;15),AND(K93=2,I93&gt;4,I93&lt;16),AND(K93&gt;2,I93&gt;0,I93&lt;5)),"Médio",IF(OR(AND(K93=2,I93&gt;15),AND(K93&gt;2,I93&gt;4,I93&lt;16),AND(K93&gt;2,I93&gt;15)),"Complexo",""))),
IF(OR(G93="CE",G93="SE"),IF(OR(AND(OR(K93=1,K93=0),I93&gt;0,I93&lt;6),AND(OR(K93=1,K93=0),I93&gt;5,I93&lt;20),AND(K93&gt;1,K93&lt;4,I93&gt;0,I93&lt;6)),"Simples",IF(OR(AND(OR(K93=1,K93=0),I93&gt;19),AND(K93&gt;1,K93&lt;4,I93&gt;5,I93&lt;20),AND(K93&gt;3,I93&gt;0,I93&lt;6)),"Médio",IF(OR(AND(K93&gt;1,K93&lt;4,I93&gt;19),AND(K93&gt;3,I93&gt;5,I93&lt;20),AND(K93&gt;3,I93&gt;19)),"Complexo",""))),""))</f>
        <v>Complexo</v>
      </c>
      <c r="N93" s="233" t="str">
        <f t="shared" ref="N93:N94" si="155">IF(G93="ALI",IF(OR(AND(OR(K93=1,K93=0),I93&gt;0,I93&lt;20),AND(OR(K93=1,K93=0),I93&gt;19,I93&lt;51),AND(K93&gt;1,K93&lt;6,I93&gt;0,I93&lt;20)),"Simples",IF(OR(AND(OR(K93=1,K93=0),I93&gt;50),AND(K93&gt;1,K93&lt;6,I93&gt;19,I93&lt;51),AND(K93&gt;5,I93&gt;0,I93&lt;20)),"Médio",IF(OR(AND(K93&gt;1,K93&lt;6,I93&gt;50),AND(K93&gt;5,I93&gt;19,I93&lt;51),AND(K93&gt;5,I93&gt;50)),"Complexo",""))),
IF(G93="AIE",IF(OR(AND(OR(K93=1, K93=0),I93&gt;0,I93&lt;20),AND(OR(K93=1, K93=0),I93&gt;19,I93&lt;51),AND(K93&gt;1,K93&lt;6,I93&gt;0,I93&lt;20)),"Simples",IF(OR(AND(OR(K93=1, K93=0),I93&gt;50),AND(K93&gt;1,K93&lt;6,I93&gt;19,I93&lt;51),AND(K93&gt;5,I93&gt;0,I93&lt;20)),"Médio",IF(OR(AND(K93&gt;1,K93&lt;6,I93&gt;50),AND(K93&gt;5,I93&gt;19,I93&lt;51),AND(K93&gt;5,I93&gt;50)),"Complexo",""))),""))</f>
        <v/>
      </c>
      <c r="O93" s="234" t="str">
        <f t="shared" ref="O93:O94" si="156">IF(M93="",N93,IF(N93="",M93,""))</f>
        <v>Complexo</v>
      </c>
      <c r="P93" s="235">
        <f t="shared" ref="P93:P94" si="157">IF(AND(OR(G93="EE",G93="CE"),O93="Simples"),3,
IF(AND(OR(G93="EE",G93="CE"),O93="Médio"),4,
IF(AND(OR(G93="EE",G93="CE"),O93="Complexo"),6,
IF(AND(G93="SE",O93="Simples"),4,
IF(AND(G93="SE",O93="Médio"),5,
IF(AND(G93="SE",O93="Complexo"),7,0))))))</f>
        <v>6</v>
      </c>
      <c r="Q93" s="235">
        <f t="shared" ref="Q93:Q94" si="158">IF(AND(G93="ALI",N93="Simples"),7,
IF(AND(G93="ALI",N93="Médio"),10,
IF(AND(G93="ALI",N93="Complexo"),15,
IF(AND(G93="AIE",N93="Simples"),5,
IF(AND(G93="AIE",N93="Médio"),7,
IF(AND(G93="AIE",N93="Complexo"),10,0))))))</f>
        <v>0</v>
      </c>
      <c r="R93" s="234">
        <f t="shared" ref="R93:R94" si="159">IF(G93="INM",C93*H93,IF(AND(OR(G93="EE",G93="CE"),O93="Simples"),3,
IF(AND(OR(G93="EE",G93="CE"),O93="Médio"),4,
IF(AND(OR(G93="EE",G93="CE"),O93="Complexo"),6,
IF(AND(G93="SE",O93="Simples"),4,
IF(AND(G93="SE",O93="Médio"),5,
IF(AND(G93="SE",O93="Complexo"),7,
IF(AND(G93="ALI",O93="Médio"),10,
IF(AND(G93="ALI",O93="Simples"),7,
IF(AND(G93="ALI",O93="Complexo"),15,
IF(AND(G93="AIE",O93="Simples"),5,
IF(AND(G93="AIE",O93="Médio"),7,
IF(AND(G93="AIE",O93="Complexo"),10,0))
)))))))))))</f>
        <v>6</v>
      </c>
      <c r="S93" s="234">
        <f t="shared" ref="S93:S94" si="160">IF(G93="INM",C93*H93,IF(B93&lt;&gt;"Manutenção em interface",IF(B93&lt;&gt;"Desenv., Manutenção e Publicação de Páginas Estáticas",(P93+Q93)*C93,C93),C93))</f>
        <v>6</v>
      </c>
      <c r="T93" s="236" t="s">
        <v>362</v>
      </c>
      <c r="U93" s="236"/>
      <c r="W93" s="184"/>
      <c r="X93" s="56"/>
      <c r="Y93" s="155">
        <f>IF(X93&lt;&gt;"",VLOOKUP(X93,'Tipo Projeto'!$A$3:$B$44,2,0),0)</f>
        <v>0</v>
      </c>
      <c r="Z93" s="44"/>
      <c r="AA93" s="57"/>
      <c r="AB93" s="170"/>
      <c r="AC93" s="174"/>
      <c r="AD93" s="165"/>
      <c r="AE93" s="171" t="str">
        <f t="shared" ref="AE93:AE94" si="161">IF(Z93="EE",IF(OR(AND(OR(AC93=1,AC93=0),AA93&gt;0,AA93&lt;5),AND(OR(AC93=1,AC93=0),AA93&gt;4,AA93&lt;16),AND(AC93=2,AA93&gt;0,AA93&lt;5)),"Simples",IF(OR(AND(OR(AC93=1,AC93=0),AA93&gt;15),AND(AC93=2,AA93&gt;4,AA93&lt;16),AND(AC93&gt;2,AA93&gt;0,AA93&lt;5)),"Médio",IF(OR(AND(AC93=2,AA93&gt;15),AND(AC93&gt;2,AA93&gt;4,AA93&lt;16),AND(AC93&gt;2,AA93&gt;15)),"Complexo",""))),
IF(OR(Z93="CE",Z93="SE"),IF(OR(AND(OR(AC93=1,AC93=0),AA93&gt;0,AA93&lt;6),AND(OR(AC93=1,AC93=0),AA93&gt;5,AA93&lt;20),AND(AC93&gt;1,AC93&lt;4,AA93&gt;0,AA93&lt;6)),"Simples",IF(OR(AND(OR(AC93=1,AC93=0),AA93&gt;19),AND(AC93&gt;1,AC93&lt;4,AA93&gt;5,AA93&lt;20),AND(AC93&gt;3,AA93&gt;0,AA93&lt;6)),"Médio",IF(OR(AND(AC93&gt;1,AC93&lt;4,AA93&gt;19),AND(AC93&gt;3,AA93&gt;5,AA93&lt;20),AND(AC93&gt;3,AA93&gt;19)),"Complexo",""))),""))</f>
        <v/>
      </c>
      <c r="AF93" s="45" t="str">
        <f t="shared" ref="AF93:AF94" si="162">IF(Z93="ALI",IF(OR(AND(OR(AC93=1,AC93=0),AA93&gt;0,AA93&lt;20),AND(OR(AC93=1,AC93=0),AA93&gt;19,AA93&lt;51),AND(AC93&gt;1,AC93&lt;6,AA93&gt;0,AA93&lt;20)),"Simples",IF(OR(AND(OR(AC93=1,AC93=0),AA93&gt;50),AND(AC93&gt;1,AC93&lt;6,AA93&gt;19,AA93&lt;51),AND(AC93&gt;5,AA93&gt;0,AA93&lt;20)),"Médio",IF(OR(AND(AC93&gt;1,AC93&lt;6,AA93&gt;50),AND(AC93&gt;5,AA93&gt;19,AA93&lt;51),AND(AC93&gt;5,AA93&gt;50)),"Complexo",""))),
IF(Z93="AIE",IF(OR(AND(OR(AC93=1, AC93=0),AA93&gt;0,AA93&lt;20),AND(OR(AC93=1, AC93=0),AA93&gt;19,AA93&lt;51),AND(AC93&gt;1,AC93&lt;6,AA93&gt;0,AA93&lt;20)),"Simples",IF(OR(AND(OR(AC93=1, AC93=0),AA93&gt;50),AND(AC93&gt;1,AC93&lt;6,AA93&gt;19,AA93&lt;51),AND(AC93&gt;5,AA93&gt;0,AA93&lt;20)),"Médio",IF(OR(AND(AC93&gt;1,AC93&lt;6,AA93&gt;50),AND(AC93&gt;5,AA93&gt;19,AA93&lt;51),AND(AC93&gt;5,AA93&gt;50)),"Complexo",""))),""))</f>
        <v/>
      </c>
      <c r="AG93" s="175" t="str">
        <f t="shared" ref="AG93:AG94" si="163">IF(AE93="",AF93,IF(AF93="",AE93,""))</f>
        <v/>
      </c>
      <c r="AH93" s="176">
        <f t="shared" ref="AH93:AH94" si="164">IF(AND(OR(Z93="EE",Z93="CE"),AG93="Simples"),3,
IF(AND(OR(Z93="EE",Z93="CE"),AG93="Médio"),4,
IF(AND(OR(Z93="EE",Z93="CE"),AG93="Complexo"),6,
IF(AND(Z93="SE",AG93="Simples"),4,
IF(AND(Z93="SE",AG93="Médio"),5,
IF(AND(Z93="SE",AG93="Complexo"),7,0))))))</f>
        <v>0</v>
      </c>
      <c r="AI93" s="176">
        <f t="shared" ref="AI93:AI94" si="165">IF(AND(Z93="ALI",AF93="Simples"),7,
IF(AND(Z93="ALI",AF93="Médio"),10,
IF(AND(Z93="ALI",AF93="Complexo"),15,
IF(AND(Z93="AIE",AF93="Simples"),5,
IF(AND(Z93="AIE",AF93="Médio"),7,
IF(AND(Z93="AIE",AF93="Complexo"),10,0))))))</f>
        <v>0</v>
      </c>
      <c r="AJ93" s="185">
        <f t="shared" ref="AJ93:AJ94" si="166">IF(W93="OK",S93,(
IF(X93&lt;&gt;"Manutenção em interface",IF(X93&lt;&gt;"Desenv., Manutenção e Publicação de Páginas Estáticas",(AH93+AI93)*Y93,Y93),Y93)))</f>
        <v>0</v>
      </c>
      <c r="AK93" s="44"/>
      <c r="AM93" s="44"/>
      <c r="AO93" s="44"/>
      <c r="AP93" s="44" t="str">
        <f t="shared" ref="AP93:AP94" si="167">IF(AJ93=0,"",IF(AJ93=S93,"OK","Divergente"))</f>
        <v/>
      </c>
    </row>
    <row r="94" spans="2:42" s="46" customFormat="1" ht="18.75" customHeight="1">
      <c r="B94" s="226" t="s">
        <v>73</v>
      </c>
      <c r="C94" s="227">
        <f>IF(B94&lt;&gt;"",VLOOKUP(B94,'Tipo Projeto'!$A$3:$B$44,2,0),0)</f>
        <v>1</v>
      </c>
      <c r="D94" s="228" t="s">
        <v>355</v>
      </c>
      <c r="E94" s="236"/>
      <c r="F94" s="233" t="s">
        <v>349</v>
      </c>
      <c r="G94" s="228" t="s">
        <v>78</v>
      </c>
      <c r="H94" s="229"/>
      <c r="I94" s="230">
        <v>9</v>
      </c>
      <c r="J94" s="225" t="s">
        <v>350</v>
      </c>
      <c r="K94" s="231">
        <v>1</v>
      </c>
      <c r="L94" s="237" t="s">
        <v>465</v>
      </c>
      <c r="M94" s="232" t="str">
        <f t="shared" si="154"/>
        <v>Simples</v>
      </c>
      <c r="N94" s="233" t="str">
        <f t="shared" si="155"/>
        <v/>
      </c>
      <c r="O94" s="234" t="str">
        <f t="shared" si="156"/>
        <v>Simples</v>
      </c>
      <c r="P94" s="235">
        <f t="shared" si="157"/>
        <v>3</v>
      </c>
      <c r="Q94" s="235">
        <f t="shared" si="158"/>
        <v>0</v>
      </c>
      <c r="R94" s="234">
        <f t="shared" si="159"/>
        <v>3</v>
      </c>
      <c r="S94" s="234">
        <f t="shared" si="160"/>
        <v>3</v>
      </c>
      <c r="T94" s="236" t="s">
        <v>362</v>
      </c>
      <c r="U94" s="236"/>
      <c r="W94" s="184"/>
      <c r="X94" s="56"/>
      <c r="Y94" s="155">
        <f>IF(X94&lt;&gt;"",VLOOKUP(X94,'Tipo Projeto'!$A$3:$B$44,2,0),0)</f>
        <v>0</v>
      </c>
      <c r="Z94" s="44"/>
      <c r="AA94" s="57"/>
      <c r="AB94" s="170"/>
      <c r="AC94" s="174"/>
      <c r="AD94" s="165"/>
      <c r="AE94" s="171" t="str">
        <f t="shared" si="161"/>
        <v/>
      </c>
      <c r="AF94" s="45" t="str">
        <f t="shared" si="162"/>
        <v/>
      </c>
      <c r="AG94" s="175" t="str">
        <f t="shared" si="163"/>
        <v/>
      </c>
      <c r="AH94" s="176">
        <f t="shared" si="164"/>
        <v>0</v>
      </c>
      <c r="AI94" s="176">
        <f t="shared" si="165"/>
        <v>0</v>
      </c>
      <c r="AJ94" s="185">
        <f t="shared" si="166"/>
        <v>0</v>
      </c>
      <c r="AK94" s="44"/>
      <c r="AM94" s="44"/>
      <c r="AO94" s="44"/>
      <c r="AP94" s="44" t="str">
        <f t="shared" si="167"/>
        <v/>
      </c>
    </row>
    <row r="95" spans="2:42" s="46" customFormat="1" ht="18.75" customHeight="1">
      <c r="B95" s="226" t="s">
        <v>73</v>
      </c>
      <c r="C95" s="227">
        <f>IF(B95&lt;&gt;"",VLOOKUP(B95,'Tipo Projeto'!$A$3:$B$44,2,0),0)</f>
        <v>1</v>
      </c>
      <c r="D95" s="228" t="s">
        <v>355</v>
      </c>
      <c r="E95" s="236"/>
      <c r="F95" s="233" t="s">
        <v>285</v>
      </c>
      <c r="G95" s="228" t="s">
        <v>78</v>
      </c>
      <c r="H95" s="229"/>
      <c r="I95" s="230">
        <v>32</v>
      </c>
      <c r="J95" s="225" t="s">
        <v>286</v>
      </c>
      <c r="K95" s="231">
        <v>4</v>
      </c>
      <c r="L95" s="237" t="s">
        <v>452</v>
      </c>
      <c r="M95" s="232" t="str">
        <f t="shared" si="14"/>
        <v>Complexo</v>
      </c>
      <c r="N95" s="233" t="str">
        <f t="shared" si="15"/>
        <v/>
      </c>
      <c r="O95" s="234" t="str">
        <f t="shared" si="41"/>
        <v>Complexo</v>
      </c>
      <c r="P95" s="235">
        <f t="shared" si="16"/>
        <v>6</v>
      </c>
      <c r="Q95" s="235">
        <f t="shared" si="17"/>
        <v>0</v>
      </c>
      <c r="R95" s="234">
        <f t="shared" si="18"/>
        <v>6</v>
      </c>
      <c r="S95" s="234">
        <f t="shared" si="19"/>
        <v>6</v>
      </c>
      <c r="T95" s="236" t="s">
        <v>362</v>
      </c>
      <c r="U95" s="236"/>
      <c r="W95" s="184"/>
      <c r="X95" s="56"/>
      <c r="Y95" s="155">
        <f>IF(X95&lt;&gt;"",VLOOKUP(X95,'Tipo Projeto'!$A$3:$B$44,2,0),0)</f>
        <v>0</v>
      </c>
      <c r="Z95" s="44"/>
      <c r="AA95" s="57"/>
      <c r="AB95" s="170"/>
      <c r="AC95" s="174"/>
      <c r="AD95" s="165"/>
      <c r="AE95" s="171" t="str">
        <f t="shared" si="20"/>
        <v/>
      </c>
      <c r="AF95" s="45" t="str">
        <f t="shared" si="21"/>
        <v/>
      </c>
      <c r="AG95" s="175" t="str">
        <f t="shared" si="22"/>
        <v/>
      </c>
      <c r="AH95" s="176">
        <f t="shared" si="23"/>
        <v>0</v>
      </c>
      <c r="AI95" s="176">
        <f t="shared" si="24"/>
        <v>0</v>
      </c>
      <c r="AJ95" s="185">
        <f t="shared" si="25"/>
        <v>0</v>
      </c>
      <c r="AK95" s="44"/>
      <c r="AM95" s="44"/>
      <c r="AO95" s="44"/>
      <c r="AP95" s="44" t="str">
        <f t="shared" si="26"/>
        <v/>
      </c>
    </row>
    <row r="96" spans="2:42" s="46" customFormat="1" ht="18.75" customHeight="1">
      <c r="B96" s="226"/>
      <c r="C96" s="227">
        <f>IF(B96&lt;&gt;"",VLOOKUP(B96,'Tipo Projeto'!$A$3:$B$44,2,0),0)</f>
        <v>0</v>
      </c>
      <c r="D96" s="228"/>
      <c r="E96" s="236"/>
      <c r="F96" s="233"/>
      <c r="G96" s="228"/>
      <c r="H96" s="229"/>
      <c r="I96" s="230"/>
      <c r="J96" s="225"/>
      <c r="K96" s="231"/>
      <c r="L96" s="237"/>
      <c r="M96" s="232" t="str">
        <f t="shared" ref="M96:M124" si="168">IF(G96="EE",IF(OR(AND(OR(K96=1,K96=0),I96&gt;0,I96&lt;5),AND(OR(K96=1,K96=0),I96&gt;4,I96&lt;16),AND(K96=2,I96&gt;0,I96&lt;5)),"Simples",IF(OR(AND(OR(K96=1,K96=0),I96&gt;15),AND(K96=2,I96&gt;4,I96&lt;16),AND(K96&gt;2,I96&gt;0,I96&lt;5)),"Médio",IF(OR(AND(K96=2,I96&gt;15),AND(K96&gt;2,I96&gt;4,I96&lt;16),AND(K96&gt;2,I96&gt;15)),"Complexo",""))),
IF(OR(G96="CE",G96="SE"),IF(OR(AND(OR(K96=1,K96=0),I96&gt;0,I96&lt;6),AND(OR(K96=1,K96=0),I96&gt;5,I96&lt;20),AND(K96&gt;1,K96&lt;4,I96&gt;0,I96&lt;6)),"Simples",IF(OR(AND(OR(K96=1,K96=0),I96&gt;19),AND(K96&gt;1,K96&lt;4,I96&gt;5,I96&lt;20),AND(K96&gt;3,I96&gt;0,I96&lt;6)),"Médio",IF(OR(AND(K96&gt;1,K96&lt;4,I96&gt;19),AND(K96&gt;3,I96&gt;5,I96&lt;20),AND(K96&gt;3,I96&gt;19)),"Complexo",""))),""))</f>
        <v/>
      </c>
      <c r="N96" s="233" t="str">
        <f t="shared" ref="N96:N124" si="169">IF(G96="ALI",IF(OR(AND(OR(K96=1,K96=0),I96&gt;0,I96&lt;20),AND(OR(K96=1,K96=0),I96&gt;19,I96&lt;51),AND(K96&gt;1,K96&lt;6,I96&gt;0,I96&lt;20)),"Simples",IF(OR(AND(OR(K96=1,K96=0),I96&gt;50),AND(K96&gt;1,K96&lt;6,I96&gt;19,I96&lt;51),AND(K96&gt;5,I96&gt;0,I96&lt;20)),"Médio",IF(OR(AND(K96&gt;1,K96&lt;6,I96&gt;50),AND(K96&gt;5,I96&gt;19,I96&lt;51),AND(K96&gt;5,I96&gt;50)),"Complexo",""))),
IF(G96="AIE",IF(OR(AND(OR(K96=1, K96=0),I96&gt;0,I96&lt;20),AND(OR(K96=1, K96=0),I96&gt;19,I96&lt;51),AND(K96&gt;1,K96&lt;6,I96&gt;0,I96&lt;20)),"Simples",IF(OR(AND(OR(K96=1, K96=0),I96&gt;50),AND(K96&gt;1,K96&lt;6,I96&gt;19,I96&lt;51),AND(K96&gt;5,I96&gt;0,I96&lt;20)),"Médio",IF(OR(AND(K96&gt;1,K96&lt;6,I96&gt;50),AND(K96&gt;5,I96&gt;19,I96&lt;51),AND(K96&gt;5,I96&gt;50)),"Complexo",""))),""))</f>
        <v/>
      </c>
      <c r="O96" s="234" t="str">
        <f t="shared" ref="O96:O124" si="170">IF(M96="",N96,IF(N96="",M96,""))</f>
        <v/>
      </c>
      <c r="P96" s="235">
        <f t="shared" ref="P96:P124" si="171">IF(AND(OR(G96="EE",G96="CE"),O96="Simples"),3,
IF(AND(OR(G96="EE",G96="CE"),O96="Médio"),4,
IF(AND(OR(G96="EE",G96="CE"),O96="Complexo"),6,
IF(AND(G96="SE",O96="Simples"),4,
IF(AND(G96="SE",O96="Médio"),5,
IF(AND(G96="SE",O96="Complexo"),7,0))))))</f>
        <v>0</v>
      </c>
      <c r="Q96" s="235">
        <f t="shared" ref="Q96:Q124" si="172">IF(AND(G96="ALI",N96="Simples"),7,
IF(AND(G96="ALI",N96="Médio"),10,
IF(AND(G96="ALI",N96="Complexo"),15,
IF(AND(G96="AIE",N96="Simples"),5,
IF(AND(G96="AIE",N96="Médio"),7,
IF(AND(G96="AIE",N96="Complexo"),10,0))))))</f>
        <v>0</v>
      </c>
      <c r="R96" s="234">
        <f t="shared" ref="R96:R124" si="173">IF(G96="INM",C96*H96,IF(AND(OR(G96="EE",G96="CE"),O96="Simples"),3,
IF(AND(OR(G96="EE",G96="CE"),O96="Médio"),4,
IF(AND(OR(G96="EE",G96="CE"),O96="Complexo"),6,
IF(AND(G96="SE",O96="Simples"),4,
IF(AND(G96="SE",O96="Médio"),5,
IF(AND(G96="SE",O96="Complexo"),7,
IF(AND(G96="ALI",O96="Médio"),10,
IF(AND(G96="ALI",O96="Simples"),7,
IF(AND(G96="ALI",O96="Complexo"),15,
IF(AND(G96="AIE",O96="Simples"),5,
IF(AND(G96="AIE",O96="Médio"),7,
IF(AND(G96="AIE",O96="Complexo"),10,0))
)))))))))))</f>
        <v>0</v>
      </c>
      <c r="S96" s="234">
        <f t="shared" ref="S96:S124" si="174">IF(G96="INM",C96*H96,IF(B96&lt;&gt;"Manutenção em interface",IF(B96&lt;&gt;"Desenv., Manutenção e Publicação de Páginas Estáticas",(P96+Q96)*C96,C96),C96))</f>
        <v>0</v>
      </c>
      <c r="T96" s="236"/>
      <c r="U96" s="236"/>
      <c r="W96" s="184"/>
      <c r="X96" s="56"/>
      <c r="Y96" s="155">
        <f>IF(X96&lt;&gt;"",VLOOKUP(X96,'Tipo Projeto'!$A$3:$B$44,2,0),0)</f>
        <v>0</v>
      </c>
      <c r="Z96" s="44"/>
      <c r="AA96" s="57"/>
      <c r="AB96" s="170"/>
      <c r="AC96" s="174"/>
      <c r="AD96" s="165"/>
      <c r="AE96" s="171" t="str">
        <f t="shared" ref="AE96:AE124" si="175">IF(Z96="EE",IF(OR(AND(OR(AC96=1,AC96=0),AA96&gt;0,AA96&lt;5),AND(OR(AC96=1,AC96=0),AA96&gt;4,AA96&lt;16),AND(AC96=2,AA96&gt;0,AA96&lt;5)),"Simples",IF(OR(AND(OR(AC96=1,AC96=0),AA96&gt;15),AND(AC96=2,AA96&gt;4,AA96&lt;16),AND(AC96&gt;2,AA96&gt;0,AA96&lt;5)),"Médio",IF(OR(AND(AC96=2,AA96&gt;15),AND(AC96&gt;2,AA96&gt;4,AA96&lt;16),AND(AC96&gt;2,AA96&gt;15)),"Complexo",""))),
IF(OR(Z96="CE",Z96="SE"),IF(OR(AND(OR(AC96=1,AC96=0),AA96&gt;0,AA96&lt;6),AND(OR(AC96=1,AC96=0),AA96&gt;5,AA96&lt;20),AND(AC96&gt;1,AC96&lt;4,AA96&gt;0,AA96&lt;6)),"Simples",IF(OR(AND(OR(AC96=1,AC96=0),AA96&gt;19),AND(AC96&gt;1,AC96&lt;4,AA96&gt;5,AA96&lt;20),AND(AC96&gt;3,AA96&gt;0,AA96&lt;6)),"Médio",IF(OR(AND(AC96&gt;1,AC96&lt;4,AA96&gt;19),AND(AC96&gt;3,AA96&gt;5,AA96&lt;20),AND(AC96&gt;3,AA96&gt;19)),"Complexo",""))),""))</f>
        <v/>
      </c>
      <c r="AF96" s="45" t="str">
        <f t="shared" ref="AF96:AF124" si="176">IF(Z96="ALI",IF(OR(AND(OR(AC96=1,AC96=0),AA96&gt;0,AA96&lt;20),AND(OR(AC96=1,AC96=0),AA96&gt;19,AA96&lt;51),AND(AC96&gt;1,AC96&lt;6,AA96&gt;0,AA96&lt;20)),"Simples",IF(OR(AND(OR(AC96=1,AC96=0),AA96&gt;50),AND(AC96&gt;1,AC96&lt;6,AA96&gt;19,AA96&lt;51),AND(AC96&gt;5,AA96&gt;0,AA96&lt;20)),"Médio",IF(OR(AND(AC96&gt;1,AC96&lt;6,AA96&gt;50),AND(AC96&gt;5,AA96&gt;19,AA96&lt;51),AND(AC96&gt;5,AA96&gt;50)),"Complexo",""))),
IF(Z96="AIE",IF(OR(AND(OR(AC96=1, AC96=0),AA96&gt;0,AA96&lt;20),AND(OR(AC96=1, AC96=0),AA96&gt;19,AA96&lt;51),AND(AC96&gt;1,AC96&lt;6,AA96&gt;0,AA96&lt;20)),"Simples",IF(OR(AND(OR(AC96=1, AC96=0),AA96&gt;50),AND(AC96&gt;1,AC96&lt;6,AA96&gt;19,AA96&lt;51),AND(AC96&gt;5,AA96&gt;0,AA96&lt;20)),"Médio",IF(OR(AND(AC96&gt;1,AC96&lt;6,AA96&gt;50),AND(AC96&gt;5,AA96&gt;19,AA96&lt;51),AND(AC96&gt;5,AA96&gt;50)),"Complexo",""))),""))</f>
        <v/>
      </c>
      <c r="AG96" s="175" t="str">
        <f t="shared" ref="AG96:AG124" si="177">IF(AE96="",AF96,IF(AF96="",AE96,""))</f>
        <v/>
      </c>
      <c r="AH96" s="176">
        <f t="shared" ref="AH96:AH124" si="178">IF(AND(OR(Z96="EE",Z96="CE"),AG96="Simples"),3,
IF(AND(OR(Z96="EE",Z96="CE"),AG96="Médio"),4,
IF(AND(OR(Z96="EE",Z96="CE"),AG96="Complexo"),6,
IF(AND(Z96="SE",AG96="Simples"),4,
IF(AND(Z96="SE",AG96="Médio"),5,
IF(AND(Z96="SE",AG96="Complexo"),7,0))))))</f>
        <v>0</v>
      </c>
      <c r="AI96" s="176">
        <f t="shared" ref="AI96:AI124" si="179">IF(AND(Z96="ALI",AF96="Simples"),7,
IF(AND(Z96="ALI",AF96="Médio"),10,
IF(AND(Z96="ALI",AF96="Complexo"),15,
IF(AND(Z96="AIE",AF96="Simples"),5,
IF(AND(Z96="AIE",AF96="Médio"),7,
IF(AND(Z96="AIE",AF96="Complexo"),10,0))))))</f>
        <v>0</v>
      </c>
      <c r="AJ96" s="185">
        <f t="shared" ref="AJ96:AJ124" si="180">IF(W96="OK",S96,(
IF(X96&lt;&gt;"Manutenção em interface",IF(X96&lt;&gt;"Desenv., Manutenção e Publicação de Páginas Estáticas",(AH96+AI96)*Y96,Y96),Y96)))</f>
        <v>0</v>
      </c>
      <c r="AK96" s="44"/>
      <c r="AM96" s="44"/>
      <c r="AO96" s="44"/>
      <c r="AP96" s="44" t="str">
        <f t="shared" ref="AP96:AP124" si="181">IF(AJ96=0,"",IF(AJ96=S96,"OK","Divergente"))</f>
        <v/>
      </c>
    </row>
    <row r="97" spans="2:42" s="46" customFormat="1" ht="18.75" customHeight="1">
      <c r="B97" s="226" t="s">
        <v>73</v>
      </c>
      <c r="C97" s="227">
        <f>IF(B97&lt;&gt;"",VLOOKUP(B97,'Tipo Projeto'!$A$3:$B$44,2,0),0)</f>
        <v>1</v>
      </c>
      <c r="D97" s="228" t="s">
        <v>366</v>
      </c>
      <c r="E97" s="236" t="s">
        <v>407</v>
      </c>
      <c r="F97" s="233" t="s">
        <v>387</v>
      </c>
      <c r="G97" s="228" t="s">
        <v>80</v>
      </c>
      <c r="H97" s="229"/>
      <c r="I97" s="230">
        <v>18</v>
      </c>
      <c r="J97" s="225" t="s">
        <v>388</v>
      </c>
      <c r="K97" s="231">
        <v>5</v>
      </c>
      <c r="L97" s="237" t="s">
        <v>459</v>
      </c>
      <c r="M97" s="232" t="str">
        <f t="shared" si="168"/>
        <v>Complexo</v>
      </c>
      <c r="N97" s="233" t="str">
        <f t="shared" si="169"/>
        <v/>
      </c>
      <c r="O97" s="234" t="str">
        <f t="shared" si="170"/>
        <v>Complexo</v>
      </c>
      <c r="P97" s="235">
        <f t="shared" si="171"/>
        <v>7</v>
      </c>
      <c r="Q97" s="235">
        <f t="shared" si="172"/>
        <v>0</v>
      </c>
      <c r="R97" s="234">
        <f t="shared" si="173"/>
        <v>7</v>
      </c>
      <c r="S97" s="234">
        <f t="shared" si="174"/>
        <v>7</v>
      </c>
      <c r="T97" s="236">
        <v>16</v>
      </c>
      <c r="U97" s="236"/>
      <c r="W97" s="184"/>
      <c r="X97" s="56"/>
      <c r="Y97" s="155">
        <f>IF(X97&lt;&gt;"",VLOOKUP(X97,'Tipo Projeto'!$A$3:$B$44,2,0),0)</f>
        <v>0</v>
      </c>
      <c r="Z97" s="44"/>
      <c r="AA97" s="57"/>
      <c r="AB97" s="170"/>
      <c r="AC97" s="174"/>
      <c r="AD97" s="165"/>
      <c r="AE97" s="171" t="str">
        <f t="shared" si="175"/>
        <v/>
      </c>
      <c r="AF97" s="45" t="str">
        <f t="shared" si="176"/>
        <v/>
      </c>
      <c r="AG97" s="175" t="str">
        <f t="shared" si="177"/>
        <v/>
      </c>
      <c r="AH97" s="176">
        <f t="shared" si="178"/>
        <v>0</v>
      </c>
      <c r="AI97" s="176">
        <f t="shared" si="179"/>
        <v>0</v>
      </c>
      <c r="AJ97" s="185">
        <f t="shared" si="180"/>
        <v>0</v>
      </c>
      <c r="AK97" s="44"/>
      <c r="AM97" s="44"/>
      <c r="AO97" s="44"/>
      <c r="AP97" s="44" t="str">
        <f t="shared" si="181"/>
        <v/>
      </c>
    </row>
    <row r="98" spans="2:42" s="46" customFormat="1" ht="18.75" customHeight="1">
      <c r="B98" s="226" t="s">
        <v>73</v>
      </c>
      <c r="C98" s="227">
        <f>IF(B98&lt;&gt;"",VLOOKUP(B98,'Tipo Projeto'!$A$3:$B$44,2,0),0)</f>
        <v>1</v>
      </c>
      <c r="D98" s="228" t="s">
        <v>366</v>
      </c>
      <c r="E98" s="236" t="s">
        <v>422</v>
      </c>
      <c r="F98" s="233" t="s">
        <v>389</v>
      </c>
      <c r="G98" s="228" t="s">
        <v>80</v>
      </c>
      <c r="H98" s="229"/>
      <c r="I98" s="230">
        <v>5</v>
      </c>
      <c r="J98" s="225" t="s">
        <v>390</v>
      </c>
      <c r="K98" s="231">
        <v>3</v>
      </c>
      <c r="L98" s="237" t="s">
        <v>460</v>
      </c>
      <c r="M98" s="232" t="str">
        <f t="shared" si="168"/>
        <v>Simples</v>
      </c>
      <c r="N98" s="233" t="str">
        <f t="shared" si="169"/>
        <v/>
      </c>
      <c r="O98" s="234" t="str">
        <f t="shared" si="170"/>
        <v>Simples</v>
      </c>
      <c r="P98" s="235">
        <f t="shared" si="171"/>
        <v>4</v>
      </c>
      <c r="Q98" s="235">
        <f t="shared" si="172"/>
        <v>0</v>
      </c>
      <c r="R98" s="234">
        <f t="shared" si="173"/>
        <v>4</v>
      </c>
      <c r="S98" s="234">
        <f t="shared" si="174"/>
        <v>4</v>
      </c>
      <c r="T98" s="236">
        <v>22</v>
      </c>
      <c r="U98" s="236"/>
      <c r="W98" s="184"/>
      <c r="X98" s="56"/>
      <c r="Y98" s="155">
        <f>IF(X98&lt;&gt;"",VLOOKUP(X98,'Tipo Projeto'!$A$3:$B$44,2,0),0)</f>
        <v>0</v>
      </c>
      <c r="Z98" s="44"/>
      <c r="AA98" s="57"/>
      <c r="AB98" s="170"/>
      <c r="AC98" s="174"/>
      <c r="AD98" s="165"/>
      <c r="AE98" s="171" t="str">
        <f t="shared" si="175"/>
        <v/>
      </c>
      <c r="AF98" s="45" t="str">
        <f t="shared" si="176"/>
        <v/>
      </c>
      <c r="AG98" s="175" t="str">
        <f t="shared" si="177"/>
        <v/>
      </c>
      <c r="AH98" s="176">
        <f t="shared" si="178"/>
        <v>0</v>
      </c>
      <c r="AI98" s="176">
        <f t="shared" si="179"/>
        <v>0</v>
      </c>
      <c r="AJ98" s="185">
        <f t="shared" si="180"/>
        <v>0</v>
      </c>
      <c r="AK98" s="44"/>
      <c r="AM98" s="44"/>
      <c r="AO98" s="44"/>
      <c r="AP98" s="44" t="str">
        <f t="shared" si="181"/>
        <v/>
      </c>
    </row>
    <row r="99" spans="2:42" s="46" customFormat="1" ht="18.75" customHeight="1">
      <c r="B99" s="226" t="s">
        <v>73</v>
      </c>
      <c r="C99" s="227">
        <f>IF(B99&lt;&gt;"",VLOOKUP(B99,'Tipo Projeto'!$A$3:$B$44,2,0),0)</f>
        <v>1</v>
      </c>
      <c r="D99" s="228" t="s">
        <v>366</v>
      </c>
      <c r="E99" s="236" t="s">
        <v>422</v>
      </c>
      <c r="F99" s="233" t="s">
        <v>401</v>
      </c>
      <c r="G99" s="228" t="s">
        <v>78</v>
      </c>
      <c r="H99" s="229"/>
      <c r="I99" s="230">
        <v>3</v>
      </c>
      <c r="J99" s="225" t="s">
        <v>402</v>
      </c>
      <c r="K99" s="231">
        <v>1</v>
      </c>
      <c r="L99" s="237" t="s">
        <v>434</v>
      </c>
      <c r="M99" s="232" t="str">
        <f t="shared" si="168"/>
        <v>Simples</v>
      </c>
      <c r="N99" s="233" t="str">
        <f t="shared" si="169"/>
        <v/>
      </c>
      <c r="O99" s="234" t="str">
        <f t="shared" si="170"/>
        <v>Simples</v>
      </c>
      <c r="P99" s="235">
        <f t="shared" si="171"/>
        <v>3</v>
      </c>
      <c r="Q99" s="235">
        <f t="shared" si="172"/>
        <v>0</v>
      </c>
      <c r="R99" s="234">
        <f t="shared" si="173"/>
        <v>3</v>
      </c>
      <c r="S99" s="234">
        <f t="shared" si="174"/>
        <v>3</v>
      </c>
      <c r="T99" s="236">
        <v>22</v>
      </c>
      <c r="U99" s="236"/>
      <c r="W99" s="184"/>
      <c r="X99" s="56"/>
      <c r="Y99" s="155">
        <f>IF(X99&lt;&gt;"",VLOOKUP(X99,'Tipo Projeto'!$A$3:$B$44,2,0),0)</f>
        <v>0</v>
      </c>
      <c r="Z99" s="44"/>
      <c r="AA99" s="57"/>
      <c r="AB99" s="170"/>
      <c r="AC99" s="174"/>
      <c r="AD99" s="165"/>
      <c r="AE99" s="171" t="str">
        <f t="shared" si="175"/>
        <v/>
      </c>
      <c r="AF99" s="45" t="str">
        <f t="shared" si="176"/>
        <v/>
      </c>
      <c r="AG99" s="175" t="str">
        <f t="shared" si="177"/>
        <v/>
      </c>
      <c r="AH99" s="176">
        <f t="shared" si="178"/>
        <v>0</v>
      </c>
      <c r="AI99" s="176">
        <f t="shared" si="179"/>
        <v>0</v>
      </c>
      <c r="AJ99" s="185">
        <f t="shared" si="180"/>
        <v>0</v>
      </c>
      <c r="AK99" s="44"/>
      <c r="AM99" s="44"/>
      <c r="AO99" s="44"/>
      <c r="AP99" s="44" t="str">
        <f t="shared" si="181"/>
        <v/>
      </c>
    </row>
    <row r="100" spans="2:42" s="46" customFormat="1" ht="18.75" customHeight="1">
      <c r="B100" s="226"/>
      <c r="C100" s="227">
        <f>IF(B100&lt;&gt;"",VLOOKUP(B100,'Tipo Projeto'!$A$3:$B$44,2,0),0)</f>
        <v>0</v>
      </c>
      <c r="D100" s="228"/>
      <c r="E100" s="236"/>
      <c r="F100" s="233"/>
      <c r="G100" s="228"/>
      <c r="H100" s="229"/>
      <c r="I100" s="230"/>
      <c r="J100" s="225"/>
      <c r="K100" s="231"/>
      <c r="L100" s="237"/>
      <c r="M100" s="232" t="str">
        <f t="shared" ref="M100" si="182">IF(G100="EE",IF(OR(AND(OR(K100=1,K100=0),I100&gt;0,I100&lt;5),AND(OR(K100=1,K100=0),I100&gt;4,I100&lt;16),AND(K100=2,I100&gt;0,I100&lt;5)),"Simples",IF(OR(AND(OR(K100=1,K100=0),I100&gt;15),AND(K100=2,I100&gt;4,I100&lt;16),AND(K100&gt;2,I100&gt;0,I100&lt;5)),"Médio",IF(OR(AND(K100=2,I100&gt;15),AND(K100&gt;2,I100&gt;4,I100&lt;16),AND(K100&gt;2,I100&gt;15)),"Complexo",""))),
IF(OR(G100="CE",G100="SE"),IF(OR(AND(OR(K100=1,K100=0),I100&gt;0,I100&lt;6),AND(OR(K100=1,K100=0),I100&gt;5,I100&lt;20),AND(K100&gt;1,K100&lt;4,I100&gt;0,I100&lt;6)),"Simples",IF(OR(AND(OR(K100=1,K100=0),I100&gt;19),AND(K100&gt;1,K100&lt;4,I100&gt;5,I100&lt;20),AND(K100&gt;3,I100&gt;0,I100&lt;6)),"Médio",IF(OR(AND(K100&gt;1,K100&lt;4,I100&gt;19),AND(K100&gt;3,I100&gt;5,I100&lt;20),AND(K100&gt;3,I100&gt;19)),"Complexo",""))),""))</f>
        <v/>
      </c>
      <c r="N100" s="233" t="str">
        <f t="shared" ref="N100" si="183">IF(G100="ALI",IF(OR(AND(OR(K100=1,K100=0),I100&gt;0,I100&lt;20),AND(OR(K100=1,K100=0),I100&gt;19,I100&lt;51),AND(K100&gt;1,K100&lt;6,I100&gt;0,I100&lt;20)),"Simples",IF(OR(AND(OR(K100=1,K100=0),I100&gt;50),AND(K100&gt;1,K100&lt;6,I100&gt;19,I100&lt;51),AND(K100&gt;5,I100&gt;0,I100&lt;20)),"Médio",IF(OR(AND(K100&gt;1,K100&lt;6,I100&gt;50),AND(K100&gt;5,I100&gt;19,I100&lt;51),AND(K100&gt;5,I100&gt;50)),"Complexo",""))),
IF(G100="AIE",IF(OR(AND(OR(K100=1, K100=0),I100&gt;0,I100&lt;20),AND(OR(K100=1, K100=0),I100&gt;19,I100&lt;51),AND(K100&gt;1,K100&lt;6,I100&gt;0,I100&lt;20)),"Simples",IF(OR(AND(OR(K100=1, K100=0),I100&gt;50),AND(K100&gt;1,K100&lt;6,I100&gt;19,I100&lt;51),AND(K100&gt;5,I100&gt;0,I100&lt;20)),"Médio",IF(OR(AND(K100&gt;1,K100&lt;6,I100&gt;50),AND(K100&gt;5,I100&gt;19,I100&lt;51),AND(K100&gt;5,I100&gt;50)),"Complexo",""))),""))</f>
        <v/>
      </c>
      <c r="O100" s="234" t="str">
        <f t="shared" ref="O100" si="184">IF(M100="",N100,IF(N100="",M100,""))</f>
        <v/>
      </c>
      <c r="P100" s="235">
        <f t="shared" ref="P100" si="185">IF(AND(OR(G100="EE",G100="CE"),O100="Simples"),3,
IF(AND(OR(G100="EE",G100="CE"),O100="Médio"),4,
IF(AND(OR(G100="EE",G100="CE"),O100="Complexo"),6,
IF(AND(G100="SE",O100="Simples"),4,
IF(AND(G100="SE",O100="Médio"),5,
IF(AND(G100="SE",O100="Complexo"),7,0))))))</f>
        <v>0</v>
      </c>
      <c r="Q100" s="235">
        <f t="shared" ref="Q100" si="186">IF(AND(G100="ALI",N100="Simples"),7,
IF(AND(G100="ALI",N100="Médio"),10,
IF(AND(G100="ALI",N100="Complexo"),15,
IF(AND(G100="AIE",N100="Simples"),5,
IF(AND(G100="AIE",N100="Médio"),7,
IF(AND(G100="AIE",N100="Complexo"),10,0))))))</f>
        <v>0</v>
      </c>
      <c r="R100" s="234">
        <f t="shared" ref="R100" si="187">IF(G100="INM",C100*H100,IF(AND(OR(G100="EE",G100="CE"),O100="Simples"),3,
IF(AND(OR(G100="EE",G100="CE"),O100="Médio"),4,
IF(AND(OR(G100="EE",G100="CE"),O100="Complexo"),6,
IF(AND(G100="SE",O100="Simples"),4,
IF(AND(G100="SE",O100="Médio"),5,
IF(AND(G100="SE",O100="Complexo"),7,
IF(AND(G100="ALI",O100="Médio"),10,
IF(AND(G100="ALI",O100="Simples"),7,
IF(AND(G100="ALI",O100="Complexo"),15,
IF(AND(G100="AIE",O100="Simples"),5,
IF(AND(G100="AIE",O100="Médio"),7,
IF(AND(G100="AIE",O100="Complexo"),10,0))
)))))))))))</f>
        <v>0</v>
      </c>
      <c r="S100" s="234">
        <f t="shared" ref="S100" si="188">IF(G100="INM",C100*H100,IF(B100&lt;&gt;"Manutenção em interface",IF(B100&lt;&gt;"Desenv., Manutenção e Publicação de Páginas Estáticas",(P100+Q100)*C100,C100),C100))</f>
        <v>0</v>
      </c>
      <c r="T100" s="236"/>
      <c r="U100" s="236"/>
      <c r="W100" s="184"/>
      <c r="X100" s="56"/>
      <c r="Y100" s="155">
        <f>IF(X100&lt;&gt;"",VLOOKUP(X100,'Tipo Projeto'!$A$3:$B$44,2,0),0)</f>
        <v>0</v>
      </c>
      <c r="Z100" s="44"/>
      <c r="AA100" s="57"/>
      <c r="AB100" s="170"/>
      <c r="AC100" s="174"/>
      <c r="AD100" s="165"/>
      <c r="AE100" s="171" t="str">
        <f t="shared" ref="AE100" si="189">IF(Z100="EE",IF(OR(AND(OR(AC100=1,AC100=0),AA100&gt;0,AA100&lt;5),AND(OR(AC100=1,AC100=0),AA100&gt;4,AA100&lt;16),AND(AC100=2,AA100&gt;0,AA100&lt;5)),"Simples",IF(OR(AND(OR(AC100=1,AC100=0),AA100&gt;15),AND(AC100=2,AA100&gt;4,AA100&lt;16),AND(AC100&gt;2,AA100&gt;0,AA100&lt;5)),"Médio",IF(OR(AND(AC100=2,AA100&gt;15),AND(AC100&gt;2,AA100&gt;4,AA100&lt;16),AND(AC100&gt;2,AA100&gt;15)),"Complexo",""))),
IF(OR(Z100="CE",Z100="SE"),IF(OR(AND(OR(AC100=1,AC100=0),AA100&gt;0,AA100&lt;6),AND(OR(AC100=1,AC100=0),AA100&gt;5,AA100&lt;20),AND(AC100&gt;1,AC100&lt;4,AA100&gt;0,AA100&lt;6)),"Simples",IF(OR(AND(OR(AC100=1,AC100=0),AA100&gt;19),AND(AC100&gt;1,AC100&lt;4,AA100&gt;5,AA100&lt;20),AND(AC100&gt;3,AA100&gt;0,AA100&lt;6)),"Médio",IF(OR(AND(AC100&gt;1,AC100&lt;4,AA100&gt;19),AND(AC100&gt;3,AA100&gt;5,AA100&lt;20),AND(AC100&gt;3,AA100&gt;19)),"Complexo",""))),""))</f>
        <v/>
      </c>
      <c r="AF100" s="45" t="str">
        <f t="shared" ref="AF100" si="190">IF(Z100="ALI",IF(OR(AND(OR(AC100=1,AC100=0),AA100&gt;0,AA100&lt;20),AND(OR(AC100=1,AC100=0),AA100&gt;19,AA100&lt;51),AND(AC100&gt;1,AC100&lt;6,AA100&gt;0,AA100&lt;20)),"Simples",IF(OR(AND(OR(AC100=1,AC100=0),AA100&gt;50),AND(AC100&gt;1,AC100&lt;6,AA100&gt;19,AA100&lt;51),AND(AC100&gt;5,AA100&gt;0,AA100&lt;20)),"Médio",IF(OR(AND(AC100&gt;1,AC100&lt;6,AA100&gt;50),AND(AC100&gt;5,AA100&gt;19,AA100&lt;51),AND(AC100&gt;5,AA100&gt;50)),"Complexo",""))),
IF(Z100="AIE",IF(OR(AND(OR(AC100=1, AC100=0),AA100&gt;0,AA100&lt;20),AND(OR(AC100=1, AC100=0),AA100&gt;19,AA100&lt;51),AND(AC100&gt;1,AC100&lt;6,AA100&gt;0,AA100&lt;20)),"Simples",IF(OR(AND(OR(AC100=1, AC100=0),AA100&gt;50),AND(AC100&gt;1,AC100&lt;6,AA100&gt;19,AA100&lt;51),AND(AC100&gt;5,AA100&gt;0,AA100&lt;20)),"Médio",IF(OR(AND(AC100&gt;1,AC100&lt;6,AA100&gt;50),AND(AC100&gt;5,AA100&gt;19,AA100&lt;51),AND(AC100&gt;5,AA100&gt;50)),"Complexo",""))),""))</f>
        <v/>
      </c>
      <c r="AG100" s="175" t="str">
        <f t="shared" ref="AG100" si="191">IF(AE100="",AF100,IF(AF100="",AE100,""))</f>
        <v/>
      </c>
      <c r="AH100" s="176">
        <f t="shared" ref="AH100" si="192">IF(AND(OR(Z100="EE",Z100="CE"),AG100="Simples"),3,
IF(AND(OR(Z100="EE",Z100="CE"),AG100="Médio"),4,
IF(AND(OR(Z100="EE",Z100="CE"),AG100="Complexo"),6,
IF(AND(Z100="SE",AG100="Simples"),4,
IF(AND(Z100="SE",AG100="Médio"),5,
IF(AND(Z100="SE",AG100="Complexo"),7,0))))))</f>
        <v>0</v>
      </c>
      <c r="AI100" s="176">
        <f t="shared" ref="AI100" si="193">IF(AND(Z100="ALI",AF100="Simples"),7,
IF(AND(Z100="ALI",AF100="Médio"),10,
IF(AND(Z100="ALI",AF100="Complexo"),15,
IF(AND(Z100="AIE",AF100="Simples"),5,
IF(AND(Z100="AIE",AF100="Médio"),7,
IF(AND(Z100="AIE",AF100="Complexo"),10,0))))))</f>
        <v>0</v>
      </c>
      <c r="AJ100" s="185">
        <f t="shared" ref="AJ100" si="194">IF(W100="OK",S100,(
IF(X100&lt;&gt;"Manutenção em interface",IF(X100&lt;&gt;"Desenv., Manutenção e Publicação de Páginas Estáticas",(AH100+AI100)*Y100,Y100),Y100)))</f>
        <v>0</v>
      </c>
      <c r="AK100" s="44"/>
      <c r="AM100" s="44"/>
      <c r="AO100" s="44"/>
      <c r="AP100" s="44" t="str">
        <f t="shared" ref="AP100" si="195">IF(AJ100=0,"",IF(AJ100=S100,"OK","Divergente"))</f>
        <v/>
      </c>
    </row>
    <row r="101" spans="2:42" s="46" customFormat="1" ht="18.75" customHeight="1">
      <c r="B101" s="226" t="s">
        <v>73</v>
      </c>
      <c r="C101" s="227">
        <f>IF(B101&lt;&gt;"",VLOOKUP(B101,'Tipo Projeto'!$A$3:$B$44,2,0),0)</f>
        <v>1</v>
      </c>
      <c r="D101" s="228" t="s">
        <v>366</v>
      </c>
      <c r="E101" s="236" t="s">
        <v>406</v>
      </c>
      <c r="F101" s="233" t="s">
        <v>392</v>
      </c>
      <c r="G101" s="228" t="s">
        <v>78</v>
      </c>
      <c r="H101" s="229"/>
      <c r="I101" s="230">
        <v>27</v>
      </c>
      <c r="J101" s="225" t="s">
        <v>391</v>
      </c>
      <c r="K101" s="231">
        <v>3</v>
      </c>
      <c r="L101" s="237" t="s">
        <v>461</v>
      </c>
      <c r="M101" s="232" t="str">
        <f t="shared" si="168"/>
        <v>Complexo</v>
      </c>
      <c r="N101" s="233" t="str">
        <f t="shared" si="169"/>
        <v/>
      </c>
      <c r="O101" s="234" t="str">
        <f t="shared" si="170"/>
        <v>Complexo</v>
      </c>
      <c r="P101" s="235">
        <f t="shared" si="171"/>
        <v>6</v>
      </c>
      <c r="Q101" s="235">
        <f t="shared" si="172"/>
        <v>0</v>
      </c>
      <c r="R101" s="234">
        <f t="shared" si="173"/>
        <v>6</v>
      </c>
      <c r="S101" s="234">
        <f t="shared" si="174"/>
        <v>6</v>
      </c>
      <c r="T101" s="236">
        <v>15</v>
      </c>
      <c r="U101" s="236"/>
      <c r="W101" s="184"/>
      <c r="X101" s="56"/>
      <c r="Y101" s="155">
        <f>IF(X101&lt;&gt;"",VLOOKUP(X101,'Tipo Projeto'!$A$3:$B$44,2,0),0)</f>
        <v>0</v>
      </c>
      <c r="Z101" s="44"/>
      <c r="AA101" s="57"/>
      <c r="AB101" s="170"/>
      <c r="AC101" s="174"/>
      <c r="AD101" s="165"/>
      <c r="AE101" s="171" t="str">
        <f t="shared" si="175"/>
        <v/>
      </c>
      <c r="AF101" s="45" t="str">
        <f t="shared" si="176"/>
        <v/>
      </c>
      <c r="AG101" s="175" t="str">
        <f t="shared" si="177"/>
        <v/>
      </c>
      <c r="AH101" s="176">
        <f t="shared" si="178"/>
        <v>0</v>
      </c>
      <c r="AI101" s="176">
        <f t="shared" si="179"/>
        <v>0</v>
      </c>
      <c r="AJ101" s="185">
        <f t="shared" si="180"/>
        <v>0</v>
      </c>
      <c r="AK101" s="44"/>
      <c r="AM101" s="44"/>
      <c r="AO101" s="44"/>
      <c r="AP101" s="44" t="str">
        <f t="shared" si="181"/>
        <v/>
      </c>
    </row>
    <row r="102" spans="2:42" s="46" customFormat="1" ht="18.75" customHeight="1">
      <c r="B102" s="226" t="s">
        <v>73</v>
      </c>
      <c r="C102" s="227">
        <f>IF(B102&lt;&gt;"",VLOOKUP(B102,'Tipo Projeto'!$A$3:$B$44,2,0),0)</f>
        <v>1</v>
      </c>
      <c r="D102" s="228" t="s">
        <v>366</v>
      </c>
      <c r="E102" s="236" t="s">
        <v>406</v>
      </c>
      <c r="F102" s="233" t="s">
        <v>393</v>
      </c>
      <c r="G102" s="228" t="s">
        <v>78</v>
      </c>
      <c r="H102" s="229"/>
      <c r="I102" s="230">
        <v>4</v>
      </c>
      <c r="J102" s="225" t="s">
        <v>394</v>
      </c>
      <c r="K102" s="231">
        <v>1</v>
      </c>
      <c r="L102" s="237" t="s">
        <v>366</v>
      </c>
      <c r="M102" s="232" t="str">
        <f t="shared" si="168"/>
        <v>Simples</v>
      </c>
      <c r="N102" s="233" t="str">
        <f t="shared" si="169"/>
        <v/>
      </c>
      <c r="O102" s="234" t="str">
        <f t="shared" si="170"/>
        <v>Simples</v>
      </c>
      <c r="P102" s="235">
        <f t="shared" si="171"/>
        <v>3</v>
      </c>
      <c r="Q102" s="235">
        <f t="shared" si="172"/>
        <v>0</v>
      </c>
      <c r="R102" s="234">
        <f t="shared" si="173"/>
        <v>3</v>
      </c>
      <c r="S102" s="234">
        <f t="shared" si="174"/>
        <v>3</v>
      </c>
      <c r="T102" s="236">
        <v>15</v>
      </c>
      <c r="U102" s="236"/>
      <c r="W102" s="184"/>
      <c r="X102" s="56"/>
      <c r="Y102" s="155">
        <f>IF(X102&lt;&gt;"",VLOOKUP(X102,'Tipo Projeto'!$A$3:$B$44,2,0),0)</f>
        <v>0</v>
      </c>
      <c r="Z102" s="44"/>
      <c r="AA102" s="57"/>
      <c r="AB102" s="170"/>
      <c r="AC102" s="174"/>
      <c r="AD102" s="165"/>
      <c r="AE102" s="171" t="str">
        <f t="shared" si="175"/>
        <v/>
      </c>
      <c r="AF102" s="45" t="str">
        <f t="shared" si="176"/>
        <v/>
      </c>
      <c r="AG102" s="175" t="str">
        <f t="shared" si="177"/>
        <v/>
      </c>
      <c r="AH102" s="176">
        <f t="shared" si="178"/>
        <v>0</v>
      </c>
      <c r="AI102" s="176">
        <f t="shared" si="179"/>
        <v>0</v>
      </c>
      <c r="AJ102" s="185">
        <f t="shared" si="180"/>
        <v>0</v>
      </c>
      <c r="AK102" s="44"/>
      <c r="AM102" s="44"/>
      <c r="AO102" s="44"/>
      <c r="AP102" s="44" t="str">
        <f t="shared" si="181"/>
        <v/>
      </c>
    </row>
    <row r="103" spans="2:42" s="46" customFormat="1" ht="18.75" customHeight="1">
      <c r="B103" s="226" t="s">
        <v>73</v>
      </c>
      <c r="C103" s="227">
        <f>IF(B103&lt;&gt;"",VLOOKUP(B103,'Tipo Projeto'!$A$3:$B$44,2,0),0)</f>
        <v>1</v>
      </c>
      <c r="D103" s="228" t="s">
        <v>366</v>
      </c>
      <c r="E103" s="236" t="s">
        <v>406</v>
      </c>
      <c r="F103" s="233" t="s">
        <v>395</v>
      </c>
      <c r="G103" s="228" t="s">
        <v>78</v>
      </c>
      <c r="H103" s="229"/>
      <c r="I103" s="230">
        <v>27</v>
      </c>
      <c r="J103" s="225" t="s">
        <v>391</v>
      </c>
      <c r="K103" s="231">
        <v>2</v>
      </c>
      <c r="L103" s="237" t="s">
        <v>464</v>
      </c>
      <c r="M103" s="232" t="str">
        <f t="shared" si="168"/>
        <v>Complexo</v>
      </c>
      <c r="N103" s="233" t="str">
        <f t="shared" si="169"/>
        <v/>
      </c>
      <c r="O103" s="234" t="str">
        <f t="shared" si="170"/>
        <v>Complexo</v>
      </c>
      <c r="P103" s="235">
        <f t="shared" si="171"/>
        <v>6</v>
      </c>
      <c r="Q103" s="235">
        <f t="shared" si="172"/>
        <v>0</v>
      </c>
      <c r="R103" s="234">
        <f t="shared" si="173"/>
        <v>6</v>
      </c>
      <c r="S103" s="234">
        <f t="shared" si="174"/>
        <v>6</v>
      </c>
      <c r="T103" s="236">
        <v>15</v>
      </c>
      <c r="U103" s="236"/>
      <c r="W103" s="184"/>
      <c r="X103" s="56"/>
      <c r="Y103" s="155">
        <f>IF(X103&lt;&gt;"",VLOOKUP(X103,'Tipo Projeto'!$A$3:$B$44,2,0),0)</f>
        <v>0</v>
      </c>
      <c r="Z103" s="44"/>
      <c r="AA103" s="57"/>
      <c r="AB103" s="170"/>
      <c r="AC103" s="174"/>
      <c r="AD103" s="165"/>
      <c r="AE103" s="171" t="str">
        <f t="shared" si="175"/>
        <v/>
      </c>
      <c r="AF103" s="45" t="str">
        <f t="shared" si="176"/>
        <v/>
      </c>
      <c r="AG103" s="175" t="str">
        <f t="shared" si="177"/>
        <v/>
      </c>
      <c r="AH103" s="176">
        <f t="shared" si="178"/>
        <v>0</v>
      </c>
      <c r="AI103" s="176">
        <f t="shared" si="179"/>
        <v>0</v>
      </c>
      <c r="AJ103" s="185">
        <f t="shared" si="180"/>
        <v>0</v>
      </c>
      <c r="AK103" s="44"/>
      <c r="AM103" s="44"/>
      <c r="AO103" s="44"/>
      <c r="AP103" s="44" t="str">
        <f t="shared" si="181"/>
        <v/>
      </c>
    </row>
    <row r="104" spans="2:42" s="46" customFormat="1" ht="18.75" customHeight="1">
      <c r="B104" s="226" t="s">
        <v>73</v>
      </c>
      <c r="C104" s="227">
        <f>IF(B104&lt;&gt;"",VLOOKUP(B104,'Tipo Projeto'!$A$3:$B$44,2,0),0)</f>
        <v>1</v>
      </c>
      <c r="D104" s="228" t="s">
        <v>366</v>
      </c>
      <c r="E104" s="236" t="s">
        <v>406</v>
      </c>
      <c r="F104" s="233" t="s">
        <v>396</v>
      </c>
      <c r="G104" s="228"/>
      <c r="H104" s="229"/>
      <c r="I104" s="230"/>
      <c r="J104" s="225"/>
      <c r="K104" s="231"/>
      <c r="L104" s="237"/>
      <c r="M104" s="232" t="str">
        <f t="shared" si="168"/>
        <v/>
      </c>
      <c r="N104" s="233" t="str">
        <f t="shared" si="169"/>
        <v/>
      </c>
      <c r="O104" s="234" t="str">
        <f t="shared" si="170"/>
        <v/>
      </c>
      <c r="P104" s="235">
        <f t="shared" si="171"/>
        <v>0</v>
      </c>
      <c r="Q104" s="235">
        <f t="shared" si="172"/>
        <v>0</v>
      </c>
      <c r="R104" s="234">
        <f t="shared" si="173"/>
        <v>0</v>
      </c>
      <c r="S104" s="234">
        <f t="shared" si="174"/>
        <v>0</v>
      </c>
      <c r="T104" s="236">
        <v>15</v>
      </c>
      <c r="U104" s="236" t="s">
        <v>397</v>
      </c>
      <c r="W104" s="184"/>
      <c r="X104" s="56"/>
      <c r="Y104" s="155">
        <f>IF(X104&lt;&gt;"",VLOOKUP(X104,'Tipo Projeto'!$A$3:$B$44,2,0),0)</f>
        <v>0</v>
      </c>
      <c r="Z104" s="44"/>
      <c r="AA104" s="57"/>
      <c r="AB104" s="170"/>
      <c r="AC104" s="174"/>
      <c r="AD104" s="165"/>
      <c r="AE104" s="171" t="str">
        <f t="shared" si="175"/>
        <v/>
      </c>
      <c r="AF104" s="45" t="str">
        <f t="shared" si="176"/>
        <v/>
      </c>
      <c r="AG104" s="175" t="str">
        <f t="shared" si="177"/>
        <v/>
      </c>
      <c r="AH104" s="176">
        <f t="shared" si="178"/>
        <v>0</v>
      </c>
      <c r="AI104" s="176">
        <f t="shared" si="179"/>
        <v>0</v>
      </c>
      <c r="AJ104" s="185">
        <f t="shared" si="180"/>
        <v>0</v>
      </c>
      <c r="AK104" s="44"/>
      <c r="AM104" s="44"/>
      <c r="AO104" s="44"/>
      <c r="AP104" s="44" t="str">
        <f t="shared" si="181"/>
        <v/>
      </c>
    </row>
    <row r="105" spans="2:42" s="46" customFormat="1" ht="18.75" customHeight="1">
      <c r="B105" s="226" t="s">
        <v>73</v>
      </c>
      <c r="C105" s="227">
        <f>IF(B105&lt;&gt;"",VLOOKUP(B105,'Tipo Projeto'!$A$3:$B$44,2,0),0)</f>
        <v>1</v>
      </c>
      <c r="D105" s="228" t="s">
        <v>366</v>
      </c>
      <c r="E105" s="236" t="s">
        <v>406</v>
      </c>
      <c r="F105" s="233" t="s">
        <v>398</v>
      </c>
      <c r="G105" s="228" t="s">
        <v>78</v>
      </c>
      <c r="H105" s="229"/>
      <c r="I105" s="230">
        <v>4</v>
      </c>
      <c r="J105" s="225" t="s">
        <v>394</v>
      </c>
      <c r="K105" s="231">
        <v>2</v>
      </c>
      <c r="L105" s="237" t="s">
        <v>405</v>
      </c>
      <c r="M105" s="232" t="str">
        <f t="shared" si="168"/>
        <v>Simples</v>
      </c>
      <c r="N105" s="233" t="str">
        <f t="shared" si="169"/>
        <v/>
      </c>
      <c r="O105" s="234" t="str">
        <f t="shared" si="170"/>
        <v>Simples</v>
      </c>
      <c r="P105" s="235">
        <f t="shared" si="171"/>
        <v>3</v>
      </c>
      <c r="Q105" s="235">
        <f t="shared" si="172"/>
        <v>0</v>
      </c>
      <c r="R105" s="234">
        <f t="shared" si="173"/>
        <v>3</v>
      </c>
      <c r="S105" s="234">
        <f t="shared" si="174"/>
        <v>3</v>
      </c>
      <c r="T105" s="236">
        <v>15</v>
      </c>
      <c r="U105" s="236"/>
      <c r="W105" s="184"/>
      <c r="X105" s="56"/>
      <c r="Y105" s="155">
        <f>IF(X105&lt;&gt;"",VLOOKUP(X105,'Tipo Projeto'!$A$3:$B$44,2,0),0)</f>
        <v>0</v>
      </c>
      <c r="Z105" s="44"/>
      <c r="AA105" s="57"/>
      <c r="AB105" s="170"/>
      <c r="AC105" s="174"/>
      <c r="AD105" s="165"/>
      <c r="AE105" s="171" t="str">
        <f t="shared" si="175"/>
        <v/>
      </c>
      <c r="AF105" s="45" t="str">
        <f t="shared" si="176"/>
        <v/>
      </c>
      <c r="AG105" s="175" t="str">
        <f t="shared" si="177"/>
        <v/>
      </c>
      <c r="AH105" s="176">
        <f t="shared" si="178"/>
        <v>0</v>
      </c>
      <c r="AI105" s="176">
        <f t="shared" si="179"/>
        <v>0</v>
      </c>
      <c r="AJ105" s="185">
        <f t="shared" si="180"/>
        <v>0</v>
      </c>
      <c r="AK105" s="44"/>
      <c r="AM105" s="44"/>
      <c r="AO105" s="44"/>
      <c r="AP105" s="44" t="str">
        <f t="shared" si="181"/>
        <v/>
      </c>
    </row>
    <row r="106" spans="2:42" s="46" customFormat="1" ht="18.75" customHeight="1">
      <c r="B106" s="226" t="s">
        <v>73</v>
      </c>
      <c r="C106" s="227">
        <f>IF(B106&lt;&gt;"",VLOOKUP(B106,'Tipo Projeto'!$A$3:$B$44,2,0),0)</f>
        <v>1</v>
      </c>
      <c r="D106" s="228" t="s">
        <v>366</v>
      </c>
      <c r="E106" s="236" t="s">
        <v>406</v>
      </c>
      <c r="F106" s="233" t="s">
        <v>399</v>
      </c>
      <c r="G106" s="228" t="s">
        <v>79</v>
      </c>
      <c r="H106" s="229"/>
      <c r="I106" s="230">
        <v>3</v>
      </c>
      <c r="J106" s="225" t="s">
        <v>400</v>
      </c>
      <c r="K106" s="231">
        <v>2</v>
      </c>
      <c r="L106" s="237" t="s">
        <v>462</v>
      </c>
      <c r="M106" s="232" t="str">
        <f t="shared" si="168"/>
        <v>Simples</v>
      </c>
      <c r="N106" s="233" t="str">
        <f t="shared" si="169"/>
        <v/>
      </c>
      <c r="O106" s="234" t="str">
        <f t="shared" si="170"/>
        <v>Simples</v>
      </c>
      <c r="P106" s="235">
        <f t="shared" si="171"/>
        <v>3</v>
      </c>
      <c r="Q106" s="235">
        <f t="shared" si="172"/>
        <v>0</v>
      </c>
      <c r="R106" s="234">
        <f t="shared" si="173"/>
        <v>3</v>
      </c>
      <c r="S106" s="234">
        <f t="shared" si="174"/>
        <v>3</v>
      </c>
      <c r="T106" s="236">
        <v>15</v>
      </c>
      <c r="U106" s="236"/>
      <c r="W106" s="184"/>
      <c r="X106" s="56"/>
      <c r="Y106" s="155">
        <f>IF(X106&lt;&gt;"",VLOOKUP(X106,'Tipo Projeto'!$A$3:$B$44,2,0),0)</f>
        <v>0</v>
      </c>
      <c r="Z106" s="44"/>
      <c r="AA106" s="57"/>
      <c r="AB106" s="170"/>
      <c r="AC106" s="174"/>
      <c r="AD106" s="165"/>
      <c r="AE106" s="171" t="str">
        <f t="shared" si="175"/>
        <v/>
      </c>
      <c r="AF106" s="45" t="str">
        <f t="shared" si="176"/>
        <v/>
      </c>
      <c r="AG106" s="175" t="str">
        <f t="shared" si="177"/>
        <v/>
      </c>
      <c r="AH106" s="176">
        <f t="shared" si="178"/>
        <v>0</v>
      </c>
      <c r="AI106" s="176">
        <f t="shared" si="179"/>
        <v>0</v>
      </c>
      <c r="AJ106" s="185">
        <f t="shared" si="180"/>
        <v>0</v>
      </c>
      <c r="AK106" s="44"/>
      <c r="AM106" s="44"/>
      <c r="AO106" s="44"/>
      <c r="AP106" s="44" t="str">
        <f t="shared" si="181"/>
        <v/>
      </c>
    </row>
    <row r="107" spans="2:42" s="46" customFormat="1" ht="18.75" customHeight="1">
      <c r="B107" s="226"/>
      <c r="C107" s="227">
        <f>IF(B107&lt;&gt;"",VLOOKUP(B107,'Tipo Projeto'!$A$3:$B$44,2,0),0)</f>
        <v>0</v>
      </c>
      <c r="D107" s="228"/>
      <c r="E107" s="236"/>
      <c r="F107" s="233"/>
      <c r="G107" s="228"/>
      <c r="H107" s="229"/>
      <c r="I107" s="230"/>
      <c r="J107" s="225"/>
      <c r="K107" s="231"/>
      <c r="L107" s="237"/>
      <c r="M107" s="232" t="str">
        <f t="shared" si="168"/>
        <v/>
      </c>
      <c r="N107" s="233" t="str">
        <f t="shared" si="169"/>
        <v/>
      </c>
      <c r="O107" s="234" t="str">
        <f t="shared" si="170"/>
        <v/>
      </c>
      <c r="P107" s="235">
        <f t="shared" si="171"/>
        <v>0</v>
      </c>
      <c r="Q107" s="235">
        <f t="shared" si="172"/>
        <v>0</v>
      </c>
      <c r="R107" s="234">
        <f t="shared" si="173"/>
        <v>0</v>
      </c>
      <c r="S107" s="234">
        <f t="shared" si="174"/>
        <v>0</v>
      </c>
      <c r="T107" s="236"/>
      <c r="U107" s="236"/>
      <c r="W107" s="184"/>
      <c r="X107" s="56"/>
      <c r="Y107" s="155">
        <f>IF(X107&lt;&gt;"",VLOOKUP(X107,'Tipo Projeto'!$A$3:$B$44,2,0),0)</f>
        <v>0</v>
      </c>
      <c r="Z107" s="44"/>
      <c r="AA107" s="57"/>
      <c r="AB107" s="170"/>
      <c r="AC107" s="174"/>
      <c r="AD107" s="165"/>
      <c r="AE107" s="171" t="str">
        <f t="shared" si="175"/>
        <v/>
      </c>
      <c r="AF107" s="45" t="str">
        <f t="shared" si="176"/>
        <v/>
      </c>
      <c r="AG107" s="175" t="str">
        <f t="shared" si="177"/>
        <v/>
      </c>
      <c r="AH107" s="176">
        <f t="shared" si="178"/>
        <v>0</v>
      </c>
      <c r="AI107" s="176">
        <f t="shared" si="179"/>
        <v>0</v>
      </c>
      <c r="AJ107" s="185">
        <f t="shared" si="180"/>
        <v>0</v>
      </c>
      <c r="AK107" s="44"/>
      <c r="AM107" s="44"/>
      <c r="AO107" s="44"/>
      <c r="AP107" s="44" t="str">
        <f t="shared" si="181"/>
        <v/>
      </c>
    </row>
    <row r="108" spans="2:42" s="46" customFormat="1" ht="18.75" customHeight="1">
      <c r="B108" s="226" t="s">
        <v>73</v>
      </c>
      <c r="C108" s="227">
        <f>IF(B108&lt;&gt;"",VLOOKUP(B108,'Tipo Projeto'!$A$3:$B$44,2,0),0)</f>
        <v>1</v>
      </c>
      <c r="D108" s="228" t="s">
        <v>366</v>
      </c>
      <c r="E108" s="236" t="s">
        <v>408</v>
      </c>
      <c r="F108" s="233" t="s">
        <v>364</v>
      </c>
      <c r="G108" s="228" t="s">
        <v>80</v>
      </c>
      <c r="H108" s="229"/>
      <c r="I108" s="230">
        <v>14</v>
      </c>
      <c r="J108" s="225" t="s">
        <v>365</v>
      </c>
      <c r="K108" s="231">
        <v>5</v>
      </c>
      <c r="L108" s="237" t="s">
        <v>367</v>
      </c>
      <c r="M108" s="232" t="str">
        <f t="shared" si="168"/>
        <v>Complexo</v>
      </c>
      <c r="N108" s="233" t="str">
        <f t="shared" si="169"/>
        <v/>
      </c>
      <c r="O108" s="234" t="str">
        <f t="shared" si="170"/>
        <v>Complexo</v>
      </c>
      <c r="P108" s="235">
        <f t="shared" si="171"/>
        <v>7</v>
      </c>
      <c r="Q108" s="235">
        <f t="shared" si="172"/>
        <v>0</v>
      </c>
      <c r="R108" s="234">
        <f t="shared" si="173"/>
        <v>7</v>
      </c>
      <c r="S108" s="234">
        <f t="shared" si="174"/>
        <v>7</v>
      </c>
      <c r="T108" s="236">
        <v>17</v>
      </c>
      <c r="U108" s="236"/>
      <c r="W108" s="184"/>
      <c r="X108" s="56"/>
      <c r="Y108" s="155">
        <f>IF(X108&lt;&gt;"",VLOOKUP(X108,'Tipo Projeto'!$A$3:$B$44,2,0),0)</f>
        <v>0</v>
      </c>
      <c r="Z108" s="44"/>
      <c r="AA108" s="57"/>
      <c r="AB108" s="170"/>
      <c r="AC108" s="174"/>
      <c r="AD108" s="165"/>
      <c r="AE108" s="171" t="str">
        <f t="shared" si="175"/>
        <v/>
      </c>
      <c r="AF108" s="45" t="str">
        <f t="shared" si="176"/>
        <v/>
      </c>
      <c r="AG108" s="175" t="str">
        <f t="shared" si="177"/>
        <v/>
      </c>
      <c r="AH108" s="176">
        <f t="shared" si="178"/>
        <v>0</v>
      </c>
      <c r="AI108" s="176">
        <f t="shared" si="179"/>
        <v>0</v>
      </c>
      <c r="AJ108" s="185">
        <f t="shared" si="180"/>
        <v>0</v>
      </c>
      <c r="AK108" s="44"/>
      <c r="AM108" s="44"/>
      <c r="AO108" s="44"/>
      <c r="AP108" s="44" t="str">
        <f t="shared" si="181"/>
        <v/>
      </c>
    </row>
    <row r="109" spans="2:42" s="46" customFormat="1" ht="18.75" customHeight="1">
      <c r="B109" s="226" t="s">
        <v>73</v>
      </c>
      <c r="C109" s="227">
        <f>IF(B109&lt;&gt;"",VLOOKUP(B109,'Tipo Projeto'!$A$3:$B$44,2,0),0)</f>
        <v>1</v>
      </c>
      <c r="D109" s="228" t="s">
        <v>366</v>
      </c>
      <c r="E109" s="236" t="s">
        <v>408</v>
      </c>
      <c r="F109" s="233" t="s">
        <v>368</v>
      </c>
      <c r="G109" s="228" t="s">
        <v>79</v>
      </c>
      <c r="H109" s="229"/>
      <c r="I109" s="230">
        <v>2</v>
      </c>
      <c r="J109" s="225" t="s">
        <v>374</v>
      </c>
      <c r="K109" s="231">
        <v>1</v>
      </c>
      <c r="L109" s="237" t="s">
        <v>315</v>
      </c>
      <c r="M109" s="232" t="str">
        <f t="shared" si="168"/>
        <v>Simples</v>
      </c>
      <c r="N109" s="233" t="str">
        <f t="shared" si="169"/>
        <v/>
      </c>
      <c r="O109" s="234" t="str">
        <f t="shared" si="170"/>
        <v>Simples</v>
      </c>
      <c r="P109" s="235">
        <f t="shared" si="171"/>
        <v>3</v>
      </c>
      <c r="Q109" s="235">
        <f t="shared" si="172"/>
        <v>0</v>
      </c>
      <c r="R109" s="234">
        <f t="shared" si="173"/>
        <v>3</v>
      </c>
      <c r="S109" s="234">
        <f t="shared" si="174"/>
        <v>3</v>
      </c>
      <c r="T109" s="236">
        <v>17</v>
      </c>
      <c r="U109" s="236"/>
      <c r="W109" s="184"/>
      <c r="X109" s="56"/>
      <c r="Y109" s="155">
        <f>IF(X109&lt;&gt;"",VLOOKUP(X109,'Tipo Projeto'!$A$3:$B$44,2,0),0)</f>
        <v>0</v>
      </c>
      <c r="Z109" s="44"/>
      <c r="AA109" s="57"/>
      <c r="AB109" s="170"/>
      <c r="AC109" s="174"/>
      <c r="AD109" s="165"/>
      <c r="AE109" s="171" t="str">
        <f t="shared" si="175"/>
        <v/>
      </c>
      <c r="AF109" s="45" t="str">
        <f t="shared" si="176"/>
        <v/>
      </c>
      <c r="AG109" s="175" t="str">
        <f t="shared" si="177"/>
        <v/>
      </c>
      <c r="AH109" s="176">
        <f t="shared" si="178"/>
        <v>0</v>
      </c>
      <c r="AI109" s="176">
        <f t="shared" si="179"/>
        <v>0</v>
      </c>
      <c r="AJ109" s="185">
        <f t="shared" si="180"/>
        <v>0</v>
      </c>
      <c r="AK109" s="44"/>
      <c r="AM109" s="44"/>
      <c r="AO109" s="44"/>
      <c r="AP109" s="44" t="str">
        <f t="shared" si="181"/>
        <v/>
      </c>
    </row>
    <row r="110" spans="2:42" s="46" customFormat="1" ht="18.75" customHeight="1">
      <c r="B110" s="226" t="s">
        <v>73</v>
      </c>
      <c r="C110" s="227">
        <f>IF(B110&lt;&gt;"",VLOOKUP(B110,'Tipo Projeto'!$A$3:$B$44,2,0),0)</f>
        <v>1</v>
      </c>
      <c r="D110" s="228" t="s">
        <v>366</v>
      </c>
      <c r="E110" s="236" t="s">
        <v>408</v>
      </c>
      <c r="F110" s="233" t="s">
        <v>371</v>
      </c>
      <c r="G110" s="228" t="s">
        <v>79</v>
      </c>
      <c r="H110" s="229"/>
      <c r="I110" s="230">
        <v>3</v>
      </c>
      <c r="J110" s="225" t="s">
        <v>375</v>
      </c>
      <c r="K110" s="231">
        <v>2</v>
      </c>
      <c r="L110" s="237" t="s">
        <v>378</v>
      </c>
      <c r="M110" s="232" t="str">
        <f t="shared" si="168"/>
        <v>Simples</v>
      </c>
      <c r="N110" s="233" t="str">
        <f t="shared" si="169"/>
        <v/>
      </c>
      <c r="O110" s="234" t="str">
        <f t="shared" si="170"/>
        <v>Simples</v>
      </c>
      <c r="P110" s="235">
        <f t="shared" si="171"/>
        <v>3</v>
      </c>
      <c r="Q110" s="235">
        <f t="shared" si="172"/>
        <v>0</v>
      </c>
      <c r="R110" s="234">
        <f t="shared" si="173"/>
        <v>3</v>
      </c>
      <c r="S110" s="234">
        <f t="shared" si="174"/>
        <v>3</v>
      </c>
      <c r="T110" s="236">
        <v>17</v>
      </c>
      <c r="U110" s="236"/>
      <c r="W110" s="184"/>
      <c r="X110" s="56"/>
      <c r="Y110" s="155">
        <f>IF(X110&lt;&gt;"",VLOOKUP(X110,'Tipo Projeto'!$A$3:$B$44,2,0),0)</f>
        <v>0</v>
      </c>
      <c r="Z110" s="44"/>
      <c r="AA110" s="57"/>
      <c r="AB110" s="170"/>
      <c r="AC110" s="174"/>
      <c r="AD110" s="165"/>
      <c r="AE110" s="171" t="str">
        <f t="shared" si="175"/>
        <v/>
      </c>
      <c r="AF110" s="45" t="str">
        <f t="shared" si="176"/>
        <v/>
      </c>
      <c r="AG110" s="175" t="str">
        <f t="shared" si="177"/>
        <v/>
      </c>
      <c r="AH110" s="176">
        <f t="shared" si="178"/>
        <v>0</v>
      </c>
      <c r="AI110" s="176">
        <f t="shared" si="179"/>
        <v>0</v>
      </c>
      <c r="AJ110" s="185">
        <f t="shared" si="180"/>
        <v>0</v>
      </c>
      <c r="AK110" s="44"/>
      <c r="AM110" s="44"/>
      <c r="AO110" s="44"/>
      <c r="AP110" s="44" t="str">
        <f t="shared" si="181"/>
        <v/>
      </c>
    </row>
    <row r="111" spans="2:42" s="46" customFormat="1" ht="18.75" customHeight="1">
      <c r="B111" s="226" t="s">
        <v>73</v>
      </c>
      <c r="C111" s="227">
        <f>IF(B111&lt;&gt;"",VLOOKUP(B111,'Tipo Projeto'!$A$3:$B$44,2,0),0)</f>
        <v>1</v>
      </c>
      <c r="D111" s="228" t="s">
        <v>366</v>
      </c>
      <c r="E111" s="236" t="s">
        <v>408</v>
      </c>
      <c r="F111" s="233" t="s">
        <v>372</v>
      </c>
      <c r="G111" s="228" t="s">
        <v>79</v>
      </c>
      <c r="H111" s="229"/>
      <c r="I111" s="230">
        <v>3</v>
      </c>
      <c r="J111" s="225" t="s">
        <v>376</v>
      </c>
      <c r="K111" s="231">
        <v>3</v>
      </c>
      <c r="L111" s="237" t="s">
        <v>379</v>
      </c>
      <c r="M111" s="232" t="str">
        <f t="shared" si="168"/>
        <v>Simples</v>
      </c>
      <c r="N111" s="233" t="str">
        <f t="shared" si="169"/>
        <v/>
      </c>
      <c r="O111" s="234" t="str">
        <f t="shared" si="170"/>
        <v>Simples</v>
      </c>
      <c r="P111" s="235">
        <f t="shared" si="171"/>
        <v>3</v>
      </c>
      <c r="Q111" s="235">
        <f t="shared" si="172"/>
        <v>0</v>
      </c>
      <c r="R111" s="234">
        <f t="shared" si="173"/>
        <v>3</v>
      </c>
      <c r="S111" s="234">
        <f t="shared" si="174"/>
        <v>3</v>
      </c>
      <c r="T111" s="236">
        <v>17</v>
      </c>
      <c r="U111" s="236"/>
      <c r="W111" s="184"/>
      <c r="X111" s="56"/>
      <c r="Y111" s="155">
        <f>IF(X111&lt;&gt;"",VLOOKUP(X111,'Tipo Projeto'!$A$3:$B$44,2,0),0)</f>
        <v>0</v>
      </c>
      <c r="Z111" s="44"/>
      <c r="AA111" s="57"/>
      <c r="AB111" s="170"/>
      <c r="AC111" s="174"/>
      <c r="AD111" s="165"/>
      <c r="AE111" s="171" t="str">
        <f t="shared" si="175"/>
        <v/>
      </c>
      <c r="AF111" s="45" t="str">
        <f t="shared" si="176"/>
        <v/>
      </c>
      <c r="AG111" s="175" t="str">
        <f t="shared" si="177"/>
        <v/>
      </c>
      <c r="AH111" s="176">
        <f t="shared" si="178"/>
        <v>0</v>
      </c>
      <c r="AI111" s="176">
        <f t="shared" si="179"/>
        <v>0</v>
      </c>
      <c r="AJ111" s="185">
        <f t="shared" si="180"/>
        <v>0</v>
      </c>
      <c r="AK111" s="44"/>
      <c r="AM111" s="44"/>
      <c r="AO111" s="44"/>
      <c r="AP111" s="44" t="str">
        <f t="shared" si="181"/>
        <v/>
      </c>
    </row>
    <row r="112" spans="2:42" s="46" customFormat="1" ht="18.75" customHeight="1">
      <c r="B112" s="226" t="s">
        <v>73</v>
      </c>
      <c r="C112" s="227">
        <f>IF(B112&lt;&gt;"",VLOOKUP(B112,'Tipo Projeto'!$A$3:$B$44,2,0),0)</f>
        <v>1</v>
      </c>
      <c r="D112" s="228" t="s">
        <v>366</v>
      </c>
      <c r="E112" s="236" t="s">
        <v>408</v>
      </c>
      <c r="F112" s="233" t="s">
        <v>373</v>
      </c>
      <c r="G112" s="228" t="s">
        <v>79</v>
      </c>
      <c r="H112" s="229"/>
      <c r="I112" s="230">
        <v>3</v>
      </c>
      <c r="J112" s="225" t="s">
        <v>377</v>
      </c>
      <c r="K112" s="231">
        <v>3</v>
      </c>
      <c r="L112" s="237" t="s">
        <v>380</v>
      </c>
      <c r="M112" s="232" t="str">
        <f t="shared" si="168"/>
        <v>Simples</v>
      </c>
      <c r="N112" s="233" t="str">
        <f t="shared" si="169"/>
        <v/>
      </c>
      <c r="O112" s="234" t="str">
        <f t="shared" si="170"/>
        <v>Simples</v>
      </c>
      <c r="P112" s="235">
        <f t="shared" si="171"/>
        <v>3</v>
      </c>
      <c r="Q112" s="235">
        <f t="shared" si="172"/>
        <v>0</v>
      </c>
      <c r="R112" s="234">
        <f t="shared" si="173"/>
        <v>3</v>
      </c>
      <c r="S112" s="234">
        <f t="shared" si="174"/>
        <v>3</v>
      </c>
      <c r="T112" s="236">
        <v>17</v>
      </c>
      <c r="U112" s="236"/>
      <c r="W112" s="184"/>
      <c r="X112" s="56"/>
      <c r="Y112" s="155">
        <f>IF(X112&lt;&gt;"",VLOOKUP(X112,'Tipo Projeto'!$A$3:$B$44,2,0),0)</f>
        <v>0</v>
      </c>
      <c r="Z112" s="44"/>
      <c r="AA112" s="57"/>
      <c r="AB112" s="170"/>
      <c r="AC112" s="174"/>
      <c r="AD112" s="165"/>
      <c r="AE112" s="171" t="str">
        <f t="shared" si="175"/>
        <v/>
      </c>
      <c r="AF112" s="45" t="str">
        <f t="shared" si="176"/>
        <v/>
      </c>
      <c r="AG112" s="175" t="str">
        <f t="shared" si="177"/>
        <v/>
      </c>
      <c r="AH112" s="176">
        <f t="shared" si="178"/>
        <v>0</v>
      </c>
      <c r="AI112" s="176">
        <f t="shared" si="179"/>
        <v>0</v>
      </c>
      <c r="AJ112" s="185">
        <f t="shared" si="180"/>
        <v>0</v>
      </c>
      <c r="AK112" s="44"/>
      <c r="AM112" s="44"/>
      <c r="AO112" s="44"/>
      <c r="AP112" s="44" t="str">
        <f t="shared" si="181"/>
        <v/>
      </c>
    </row>
    <row r="113" spans="2:42" s="46" customFormat="1" ht="18.75" customHeight="1">
      <c r="B113" s="226" t="s">
        <v>73</v>
      </c>
      <c r="C113" s="227">
        <f>IF(B113&lt;&gt;"",VLOOKUP(B113,'Tipo Projeto'!$A$3:$B$44,2,0),0)</f>
        <v>1</v>
      </c>
      <c r="D113" s="228" t="s">
        <v>366</v>
      </c>
      <c r="E113" s="236" t="s">
        <v>409</v>
      </c>
      <c r="F113" s="233" t="s">
        <v>381</v>
      </c>
      <c r="G113" s="228" t="s">
        <v>80</v>
      </c>
      <c r="H113" s="229"/>
      <c r="I113" s="230">
        <v>37</v>
      </c>
      <c r="J113" s="225" t="s">
        <v>382</v>
      </c>
      <c r="K113" s="231">
        <v>5</v>
      </c>
      <c r="L113" s="237" t="s">
        <v>367</v>
      </c>
      <c r="M113" s="232" t="str">
        <f t="shared" si="168"/>
        <v>Complexo</v>
      </c>
      <c r="N113" s="233" t="str">
        <f t="shared" si="169"/>
        <v/>
      </c>
      <c r="O113" s="234" t="str">
        <f t="shared" si="170"/>
        <v>Complexo</v>
      </c>
      <c r="P113" s="235">
        <f t="shared" si="171"/>
        <v>7</v>
      </c>
      <c r="Q113" s="235">
        <f t="shared" si="172"/>
        <v>0</v>
      </c>
      <c r="R113" s="234">
        <f t="shared" si="173"/>
        <v>7</v>
      </c>
      <c r="S113" s="234">
        <f t="shared" si="174"/>
        <v>7</v>
      </c>
      <c r="T113" s="236">
        <v>18</v>
      </c>
      <c r="U113" s="236"/>
      <c r="W113" s="184"/>
      <c r="X113" s="56"/>
      <c r="Y113" s="155">
        <f>IF(X113&lt;&gt;"",VLOOKUP(X113,'Tipo Projeto'!$A$3:$B$44,2,0),0)</f>
        <v>0</v>
      </c>
      <c r="Z113" s="44"/>
      <c r="AA113" s="57"/>
      <c r="AB113" s="170"/>
      <c r="AC113" s="174"/>
      <c r="AD113" s="165"/>
      <c r="AE113" s="171" t="str">
        <f t="shared" si="175"/>
        <v/>
      </c>
      <c r="AF113" s="45" t="str">
        <f t="shared" si="176"/>
        <v/>
      </c>
      <c r="AG113" s="175" t="str">
        <f t="shared" si="177"/>
        <v/>
      </c>
      <c r="AH113" s="176">
        <f t="shared" si="178"/>
        <v>0</v>
      </c>
      <c r="AI113" s="176">
        <f t="shared" si="179"/>
        <v>0</v>
      </c>
      <c r="AJ113" s="185">
        <f t="shared" si="180"/>
        <v>0</v>
      </c>
      <c r="AK113" s="44"/>
      <c r="AM113" s="44"/>
      <c r="AO113" s="44"/>
      <c r="AP113" s="44" t="str">
        <f t="shared" si="181"/>
        <v/>
      </c>
    </row>
    <row r="114" spans="2:42" s="46" customFormat="1" ht="18.75" customHeight="1">
      <c r="B114" s="226" t="s">
        <v>73</v>
      </c>
      <c r="C114" s="227">
        <f>IF(B114&lt;&gt;"",VLOOKUP(B114,'Tipo Projeto'!$A$3:$B$44,2,0),0)</f>
        <v>1</v>
      </c>
      <c r="D114" s="228" t="s">
        <v>366</v>
      </c>
      <c r="E114" s="236" t="s">
        <v>409</v>
      </c>
      <c r="F114" s="233" t="s">
        <v>386</v>
      </c>
      <c r="G114" s="228" t="s">
        <v>78</v>
      </c>
      <c r="H114" s="229"/>
      <c r="I114" s="230">
        <v>3</v>
      </c>
      <c r="J114" s="225" t="s">
        <v>384</v>
      </c>
      <c r="K114" s="231">
        <v>1</v>
      </c>
      <c r="L114" s="237" t="s">
        <v>366</v>
      </c>
      <c r="M114" s="232" t="str">
        <f t="shared" si="168"/>
        <v>Simples</v>
      </c>
      <c r="N114" s="233" t="str">
        <f t="shared" si="169"/>
        <v/>
      </c>
      <c r="O114" s="234" t="str">
        <f t="shared" si="170"/>
        <v>Simples</v>
      </c>
      <c r="P114" s="235">
        <f t="shared" si="171"/>
        <v>3</v>
      </c>
      <c r="Q114" s="235">
        <f t="shared" si="172"/>
        <v>0</v>
      </c>
      <c r="R114" s="234">
        <f t="shared" si="173"/>
        <v>3</v>
      </c>
      <c r="S114" s="234">
        <f t="shared" si="174"/>
        <v>3</v>
      </c>
      <c r="T114" s="236">
        <v>18</v>
      </c>
      <c r="U114" s="236"/>
      <c r="W114" s="184"/>
      <c r="X114" s="56"/>
      <c r="Y114" s="155">
        <f>IF(X114&lt;&gt;"",VLOOKUP(X114,'Tipo Projeto'!$A$3:$B$44,2,0),0)</f>
        <v>0</v>
      </c>
      <c r="Z114" s="44"/>
      <c r="AA114" s="57"/>
      <c r="AB114" s="170"/>
      <c r="AC114" s="174"/>
      <c r="AD114" s="165"/>
      <c r="AE114" s="171" t="str">
        <f t="shared" si="175"/>
        <v/>
      </c>
      <c r="AF114" s="45" t="str">
        <f t="shared" si="176"/>
        <v/>
      </c>
      <c r="AG114" s="175" t="str">
        <f t="shared" si="177"/>
        <v/>
      </c>
      <c r="AH114" s="176">
        <f t="shared" si="178"/>
        <v>0</v>
      </c>
      <c r="AI114" s="176">
        <f t="shared" si="179"/>
        <v>0</v>
      </c>
      <c r="AJ114" s="185">
        <f t="shared" si="180"/>
        <v>0</v>
      </c>
      <c r="AK114" s="44"/>
      <c r="AM114" s="44"/>
      <c r="AO114" s="44"/>
      <c r="AP114" s="44" t="str">
        <f t="shared" si="181"/>
        <v/>
      </c>
    </row>
    <row r="115" spans="2:42" s="46" customFormat="1" ht="18.75" customHeight="1">
      <c r="B115" s="226" t="s">
        <v>188</v>
      </c>
      <c r="C115" s="227">
        <f>IF(B115&lt;&gt;"",VLOOKUP(B115,'Tipo Projeto'!$A$3:$B$44,2,0),0)</f>
        <v>0.5</v>
      </c>
      <c r="D115" s="228" t="s">
        <v>366</v>
      </c>
      <c r="E115" s="236" t="s">
        <v>409</v>
      </c>
      <c r="F115" s="255" t="s">
        <v>403</v>
      </c>
      <c r="G115" s="228" t="s">
        <v>78</v>
      </c>
      <c r="H115" s="229"/>
      <c r="I115" s="230">
        <v>7</v>
      </c>
      <c r="J115" s="225" t="s">
        <v>404</v>
      </c>
      <c r="K115" s="231">
        <v>3</v>
      </c>
      <c r="L115" s="237" t="s">
        <v>463</v>
      </c>
      <c r="M115" s="232" t="str">
        <f t="shared" si="168"/>
        <v>Complexo</v>
      </c>
      <c r="N115" s="233" t="str">
        <f t="shared" si="169"/>
        <v/>
      </c>
      <c r="O115" s="234" t="str">
        <f t="shared" si="170"/>
        <v>Complexo</v>
      </c>
      <c r="P115" s="235">
        <f t="shared" si="171"/>
        <v>6</v>
      </c>
      <c r="Q115" s="235">
        <f t="shared" si="172"/>
        <v>0</v>
      </c>
      <c r="R115" s="234">
        <f t="shared" si="173"/>
        <v>6</v>
      </c>
      <c r="S115" s="234">
        <f t="shared" si="174"/>
        <v>3</v>
      </c>
      <c r="T115" s="236">
        <v>44</v>
      </c>
      <c r="U115" s="236"/>
      <c r="W115" s="184"/>
      <c r="X115" s="56"/>
      <c r="Y115" s="155">
        <f>IF(X115&lt;&gt;"",VLOOKUP(X115,'Tipo Projeto'!$A$3:$B$44,2,0),0)</f>
        <v>0</v>
      </c>
      <c r="Z115" s="44"/>
      <c r="AA115" s="57"/>
      <c r="AB115" s="170"/>
      <c r="AC115" s="174"/>
      <c r="AD115" s="165"/>
      <c r="AE115" s="171" t="str">
        <f t="shared" si="175"/>
        <v/>
      </c>
      <c r="AF115" s="45" t="str">
        <f t="shared" si="176"/>
        <v/>
      </c>
      <c r="AG115" s="175" t="str">
        <f t="shared" si="177"/>
        <v/>
      </c>
      <c r="AH115" s="176">
        <f t="shared" si="178"/>
        <v>0</v>
      </c>
      <c r="AI115" s="176">
        <f t="shared" si="179"/>
        <v>0</v>
      </c>
      <c r="AJ115" s="185">
        <f t="shared" si="180"/>
        <v>0</v>
      </c>
      <c r="AK115" s="44"/>
      <c r="AM115" s="44"/>
      <c r="AO115" s="44"/>
      <c r="AP115" s="44" t="str">
        <f t="shared" si="181"/>
        <v/>
      </c>
    </row>
    <row r="116" spans="2:42" s="46" customFormat="1" ht="18.75" customHeight="1">
      <c r="B116" s="226" t="s">
        <v>188</v>
      </c>
      <c r="C116" s="227">
        <f>IF(B116&lt;&gt;"",VLOOKUP(B116,'Tipo Projeto'!$A$3:$B$44,2,0),0)</f>
        <v>0.5</v>
      </c>
      <c r="D116" s="228" t="s">
        <v>366</v>
      </c>
      <c r="E116" s="236" t="s">
        <v>512</v>
      </c>
      <c r="F116" s="255" t="s">
        <v>510</v>
      </c>
      <c r="G116" s="228" t="s">
        <v>80</v>
      </c>
      <c r="H116" s="229"/>
      <c r="I116" s="230">
        <v>13</v>
      </c>
      <c r="J116" s="225" t="s">
        <v>511</v>
      </c>
      <c r="K116" s="231">
        <v>2</v>
      </c>
      <c r="L116" s="237" t="s">
        <v>464</v>
      </c>
      <c r="M116" s="232" t="str">
        <f t="shared" si="168"/>
        <v>Médio</v>
      </c>
      <c r="N116" s="233" t="str">
        <f t="shared" si="169"/>
        <v/>
      </c>
      <c r="O116" s="234" t="str">
        <f t="shared" si="170"/>
        <v>Médio</v>
      </c>
      <c r="P116" s="235">
        <f t="shared" si="171"/>
        <v>5</v>
      </c>
      <c r="Q116" s="235">
        <f t="shared" si="172"/>
        <v>0</v>
      </c>
      <c r="R116" s="234">
        <f t="shared" si="173"/>
        <v>5</v>
      </c>
      <c r="S116" s="234">
        <f t="shared" si="174"/>
        <v>2.5</v>
      </c>
      <c r="T116" s="236">
        <v>44</v>
      </c>
      <c r="U116" s="236"/>
      <c r="W116" s="184"/>
      <c r="X116" s="56"/>
      <c r="Y116" s="155">
        <f>IF(X116&lt;&gt;"",VLOOKUP(X116,'Tipo Projeto'!$A$3:$B$44,2,0),0)</f>
        <v>0</v>
      </c>
      <c r="Z116" s="44"/>
      <c r="AA116" s="57"/>
      <c r="AB116" s="170"/>
      <c r="AC116" s="174"/>
      <c r="AD116" s="165"/>
      <c r="AE116" s="171" t="str">
        <f t="shared" si="175"/>
        <v/>
      </c>
      <c r="AF116" s="45" t="str">
        <f t="shared" si="176"/>
        <v/>
      </c>
      <c r="AG116" s="175" t="str">
        <f t="shared" si="177"/>
        <v/>
      </c>
      <c r="AH116" s="176">
        <f t="shared" si="178"/>
        <v>0</v>
      </c>
      <c r="AI116" s="176">
        <f t="shared" si="179"/>
        <v>0</v>
      </c>
      <c r="AJ116" s="185">
        <f t="shared" si="180"/>
        <v>0</v>
      </c>
      <c r="AK116" s="44"/>
      <c r="AM116" s="44"/>
      <c r="AO116" s="44"/>
      <c r="AP116" s="44" t="str">
        <f t="shared" si="181"/>
        <v/>
      </c>
    </row>
    <row r="117" spans="2:42" s="46" customFormat="1" ht="18.75" customHeight="1">
      <c r="B117" s="226" t="s">
        <v>188</v>
      </c>
      <c r="C117" s="227">
        <f>IF(B117&lt;&gt;"",VLOOKUP(B117,'Tipo Projeto'!$A$3:$B$44,2,0),0)</f>
        <v>0.5</v>
      </c>
      <c r="D117" s="228" t="s">
        <v>366</v>
      </c>
      <c r="E117" s="236" t="s">
        <v>512</v>
      </c>
      <c r="F117" s="255" t="s">
        <v>513</v>
      </c>
      <c r="G117" s="228" t="s">
        <v>79</v>
      </c>
      <c r="H117" s="229"/>
      <c r="I117" s="230">
        <v>3</v>
      </c>
      <c r="J117" s="225" t="s">
        <v>514</v>
      </c>
      <c r="K117" s="231">
        <v>2</v>
      </c>
      <c r="L117" s="237" t="s">
        <v>464</v>
      </c>
      <c r="M117" s="232" t="str">
        <f t="shared" si="168"/>
        <v>Simples</v>
      </c>
      <c r="N117" s="233" t="str">
        <f t="shared" si="169"/>
        <v/>
      </c>
      <c r="O117" s="234" t="str">
        <f t="shared" si="170"/>
        <v>Simples</v>
      </c>
      <c r="P117" s="235">
        <f t="shared" si="171"/>
        <v>3</v>
      </c>
      <c r="Q117" s="235">
        <f t="shared" si="172"/>
        <v>0</v>
      </c>
      <c r="R117" s="234">
        <f t="shared" si="173"/>
        <v>3</v>
      </c>
      <c r="S117" s="234">
        <f t="shared" si="174"/>
        <v>1.5</v>
      </c>
      <c r="T117" s="236">
        <v>44</v>
      </c>
      <c r="U117" s="236"/>
      <c r="W117" s="184"/>
      <c r="X117" s="56"/>
      <c r="Y117" s="155">
        <f>IF(X117&lt;&gt;"",VLOOKUP(X117,'Tipo Projeto'!$A$3:$B$44,2,0),0)</f>
        <v>0</v>
      </c>
      <c r="Z117" s="44"/>
      <c r="AA117" s="57"/>
      <c r="AB117" s="170"/>
      <c r="AC117" s="174"/>
      <c r="AD117" s="165"/>
      <c r="AE117" s="171" t="str">
        <f t="shared" si="175"/>
        <v/>
      </c>
      <c r="AF117" s="45" t="str">
        <f t="shared" si="176"/>
        <v/>
      </c>
      <c r="AG117" s="175" t="str">
        <f t="shared" si="177"/>
        <v/>
      </c>
      <c r="AH117" s="176">
        <f t="shared" si="178"/>
        <v>0</v>
      </c>
      <c r="AI117" s="176">
        <f t="shared" si="179"/>
        <v>0</v>
      </c>
      <c r="AJ117" s="185">
        <f t="shared" si="180"/>
        <v>0</v>
      </c>
      <c r="AK117" s="44"/>
      <c r="AM117" s="44"/>
      <c r="AO117" s="44"/>
      <c r="AP117" s="44" t="str">
        <f t="shared" si="181"/>
        <v/>
      </c>
    </row>
    <row r="118" spans="2:42" s="46" customFormat="1" ht="18.75" customHeight="1">
      <c r="B118" s="226" t="s">
        <v>188</v>
      </c>
      <c r="C118" s="227">
        <f>IF(B118&lt;&gt;"",VLOOKUP(B118,'Tipo Projeto'!$A$3:$B$44,2,0),0)</f>
        <v>0.5</v>
      </c>
      <c r="D118" s="228" t="s">
        <v>366</v>
      </c>
      <c r="E118" s="236" t="s">
        <v>512</v>
      </c>
      <c r="F118" s="255" t="s">
        <v>515</v>
      </c>
      <c r="G118" s="228" t="s">
        <v>79</v>
      </c>
      <c r="H118" s="229"/>
      <c r="I118" s="230">
        <v>11</v>
      </c>
      <c r="J118" s="225" t="s">
        <v>516</v>
      </c>
      <c r="K118" s="231">
        <v>2</v>
      </c>
      <c r="L118" s="237" t="s">
        <v>464</v>
      </c>
      <c r="M118" s="232" t="str">
        <f t="shared" si="168"/>
        <v>Médio</v>
      </c>
      <c r="N118" s="233" t="str">
        <f t="shared" si="169"/>
        <v/>
      </c>
      <c r="O118" s="234" t="str">
        <f t="shared" si="170"/>
        <v>Médio</v>
      </c>
      <c r="P118" s="235">
        <f t="shared" si="171"/>
        <v>4</v>
      </c>
      <c r="Q118" s="235">
        <f t="shared" si="172"/>
        <v>0</v>
      </c>
      <c r="R118" s="234">
        <f t="shared" si="173"/>
        <v>4</v>
      </c>
      <c r="S118" s="234">
        <f t="shared" si="174"/>
        <v>2</v>
      </c>
      <c r="T118" s="236">
        <v>44</v>
      </c>
      <c r="U118" s="236"/>
      <c r="W118" s="184"/>
      <c r="X118" s="56"/>
      <c r="Y118" s="155">
        <f>IF(X118&lt;&gt;"",VLOOKUP(X118,'Tipo Projeto'!$A$3:$B$44,2,0),0)</f>
        <v>0</v>
      </c>
      <c r="Z118" s="44"/>
      <c r="AA118" s="57"/>
      <c r="AB118" s="170"/>
      <c r="AC118" s="174"/>
      <c r="AD118" s="165"/>
      <c r="AE118" s="171" t="str">
        <f t="shared" si="175"/>
        <v/>
      </c>
      <c r="AF118" s="45" t="str">
        <f t="shared" si="176"/>
        <v/>
      </c>
      <c r="AG118" s="175" t="str">
        <f t="shared" si="177"/>
        <v/>
      </c>
      <c r="AH118" s="176">
        <f t="shared" si="178"/>
        <v>0</v>
      </c>
      <c r="AI118" s="176">
        <f t="shared" si="179"/>
        <v>0</v>
      </c>
      <c r="AJ118" s="185">
        <f t="shared" si="180"/>
        <v>0</v>
      </c>
      <c r="AK118" s="44"/>
      <c r="AM118" s="44"/>
      <c r="AO118" s="44"/>
      <c r="AP118" s="44" t="str">
        <f t="shared" si="181"/>
        <v/>
      </c>
    </row>
    <row r="119" spans="2:42" s="46" customFormat="1" ht="18.75" customHeight="1">
      <c r="B119" s="226" t="s">
        <v>73</v>
      </c>
      <c r="C119" s="227">
        <f>IF(B119&lt;&gt;"",VLOOKUP(B119,'Tipo Projeto'!$A$3:$B$44,2,0),0)</f>
        <v>1</v>
      </c>
      <c r="D119" s="228" t="s">
        <v>366</v>
      </c>
      <c r="E119" s="236" t="s">
        <v>555</v>
      </c>
      <c r="F119" s="393" t="s">
        <v>395</v>
      </c>
      <c r="G119" s="228" t="s">
        <v>78</v>
      </c>
      <c r="H119" s="229"/>
      <c r="I119" s="230">
        <v>27</v>
      </c>
      <c r="J119" s="225" t="s">
        <v>391</v>
      </c>
      <c r="K119" s="231">
        <v>2</v>
      </c>
      <c r="L119" s="237" t="s">
        <v>464</v>
      </c>
      <c r="M119" s="232" t="str">
        <f t="shared" si="168"/>
        <v>Complexo</v>
      </c>
      <c r="N119" s="233" t="str">
        <f t="shared" si="169"/>
        <v/>
      </c>
      <c r="O119" s="234" t="str">
        <f t="shared" si="170"/>
        <v>Complexo</v>
      </c>
      <c r="P119" s="235">
        <f t="shared" si="171"/>
        <v>6</v>
      </c>
      <c r="Q119" s="235">
        <f t="shared" si="172"/>
        <v>0</v>
      </c>
      <c r="R119" s="234">
        <f t="shared" si="173"/>
        <v>6</v>
      </c>
      <c r="S119" s="234">
        <f t="shared" si="174"/>
        <v>6</v>
      </c>
      <c r="T119" s="236">
        <v>57</v>
      </c>
      <c r="U119" s="236"/>
      <c r="W119" s="184"/>
      <c r="X119" s="56"/>
      <c r="Y119" s="155">
        <f>IF(X119&lt;&gt;"",VLOOKUP(X119,'Tipo Projeto'!$A$3:$B$44,2,0),0)</f>
        <v>0</v>
      </c>
      <c r="Z119" s="44"/>
      <c r="AA119" s="57"/>
      <c r="AB119" s="170"/>
      <c r="AC119" s="174"/>
      <c r="AD119" s="165"/>
      <c r="AE119" s="171" t="str">
        <f t="shared" si="175"/>
        <v/>
      </c>
      <c r="AF119" s="45" t="str">
        <f t="shared" si="176"/>
        <v/>
      </c>
      <c r="AG119" s="175" t="str">
        <f t="shared" si="177"/>
        <v/>
      </c>
      <c r="AH119" s="176">
        <f t="shared" si="178"/>
        <v>0</v>
      </c>
      <c r="AI119" s="176">
        <f t="shared" si="179"/>
        <v>0</v>
      </c>
      <c r="AJ119" s="185">
        <f t="shared" si="180"/>
        <v>0</v>
      </c>
      <c r="AK119" s="44"/>
      <c r="AM119" s="44"/>
      <c r="AO119" s="44"/>
      <c r="AP119" s="44" t="str">
        <f t="shared" si="181"/>
        <v/>
      </c>
    </row>
    <row r="120" spans="2:42" s="46" customFormat="1" ht="18.75" customHeight="1">
      <c r="B120" s="226" t="s">
        <v>73</v>
      </c>
      <c r="C120" s="227">
        <f>IF(B120&lt;&gt;"",VLOOKUP(B120,'Tipo Projeto'!$A$3:$B$44,2,0),0)</f>
        <v>1</v>
      </c>
      <c r="D120" s="228" t="s">
        <v>366</v>
      </c>
      <c r="E120" s="236" t="s">
        <v>555</v>
      </c>
      <c r="F120" s="393" t="s">
        <v>554</v>
      </c>
      <c r="G120" s="228" t="s">
        <v>78</v>
      </c>
      <c r="H120" s="229"/>
      <c r="I120" s="230">
        <v>3</v>
      </c>
      <c r="J120" s="225" t="s">
        <v>272</v>
      </c>
      <c r="K120" s="231">
        <v>1</v>
      </c>
      <c r="L120" s="237" t="s">
        <v>366</v>
      </c>
      <c r="M120" s="232" t="str">
        <f t="shared" si="168"/>
        <v>Simples</v>
      </c>
      <c r="N120" s="233" t="str">
        <f t="shared" si="169"/>
        <v/>
      </c>
      <c r="O120" s="234" t="str">
        <f t="shared" si="170"/>
        <v>Simples</v>
      </c>
      <c r="P120" s="235">
        <f t="shared" si="171"/>
        <v>3</v>
      </c>
      <c r="Q120" s="235">
        <f t="shared" si="172"/>
        <v>0</v>
      </c>
      <c r="R120" s="234">
        <f t="shared" si="173"/>
        <v>3</v>
      </c>
      <c r="S120" s="234">
        <f t="shared" si="174"/>
        <v>3</v>
      </c>
      <c r="T120" s="236">
        <v>57</v>
      </c>
      <c r="U120" s="236"/>
      <c r="W120" s="184"/>
      <c r="X120" s="56"/>
      <c r="Y120" s="155">
        <f>IF(X120&lt;&gt;"",VLOOKUP(X120,'Tipo Projeto'!$A$3:$B$44,2,0),0)</f>
        <v>0</v>
      </c>
      <c r="Z120" s="44"/>
      <c r="AA120" s="57"/>
      <c r="AB120" s="170"/>
      <c r="AC120" s="174"/>
      <c r="AD120" s="165"/>
      <c r="AE120" s="171" t="str">
        <f t="shared" si="175"/>
        <v/>
      </c>
      <c r="AF120" s="45" t="str">
        <f t="shared" si="176"/>
        <v/>
      </c>
      <c r="AG120" s="175" t="str">
        <f t="shared" si="177"/>
        <v/>
      </c>
      <c r="AH120" s="176">
        <f t="shared" si="178"/>
        <v>0</v>
      </c>
      <c r="AI120" s="176">
        <f t="shared" si="179"/>
        <v>0</v>
      </c>
      <c r="AJ120" s="185">
        <f t="shared" si="180"/>
        <v>0</v>
      </c>
      <c r="AK120" s="44"/>
      <c r="AM120" s="44"/>
      <c r="AO120" s="44"/>
      <c r="AP120" s="44" t="str">
        <f t="shared" si="181"/>
        <v/>
      </c>
    </row>
    <row r="121" spans="2:42" s="46" customFormat="1" ht="18.75" customHeight="1">
      <c r="B121" s="226"/>
      <c r="C121" s="227">
        <f>IF(B121&lt;&gt;"",VLOOKUP(B121,'Tipo Projeto'!$A$3:$B$44,2,0),0)</f>
        <v>0</v>
      </c>
      <c r="D121" s="228"/>
      <c r="E121" s="236"/>
      <c r="F121" s="255"/>
      <c r="G121" s="228"/>
      <c r="H121" s="229"/>
      <c r="I121" s="230"/>
      <c r="J121" s="225"/>
      <c r="K121" s="231"/>
      <c r="L121" s="237"/>
      <c r="M121" s="232" t="str">
        <f t="shared" si="168"/>
        <v/>
      </c>
      <c r="N121" s="233" t="str">
        <f t="shared" si="169"/>
        <v/>
      </c>
      <c r="O121" s="234" t="str">
        <f t="shared" si="170"/>
        <v/>
      </c>
      <c r="P121" s="235">
        <f t="shared" si="171"/>
        <v>0</v>
      </c>
      <c r="Q121" s="235">
        <f t="shared" si="172"/>
        <v>0</v>
      </c>
      <c r="R121" s="234">
        <f t="shared" si="173"/>
        <v>0</v>
      </c>
      <c r="S121" s="234">
        <f t="shared" si="174"/>
        <v>0</v>
      </c>
      <c r="T121" s="236"/>
      <c r="U121" s="236"/>
      <c r="W121" s="184"/>
      <c r="X121" s="56"/>
      <c r="Y121" s="155">
        <f>IF(X121&lt;&gt;"",VLOOKUP(X121,'Tipo Projeto'!$A$3:$B$44,2,0),0)</f>
        <v>0</v>
      </c>
      <c r="Z121" s="44"/>
      <c r="AA121" s="57"/>
      <c r="AB121" s="170"/>
      <c r="AC121" s="174"/>
      <c r="AD121" s="165"/>
      <c r="AE121" s="171" t="str">
        <f t="shared" si="175"/>
        <v/>
      </c>
      <c r="AF121" s="45" t="str">
        <f t="shared" si="176"/>
        <v/>
      </c>
      <c r="AG121" s="175" t="str">
        <f t="shared" si="177"/>
        <v/>
      </c>
      <c r="AH121" s="176">
        <f t="shared" si="178"/>
        <v>0</v>
      </c>
      <c r="AI121" s="176">
        <f t="shared" si="179"/>
        <v>0</v>
      </c>
      <c r="AJ121" s="185">
        <f t="shared" si="180"/>
        <v>0</v>
      </c>
      <c r="AK121" s="44"/>
      <c r="AM121" s="44"/>
      <c r="AO121" s="44"/>
      <c r="AP121" s="44" t="str">
        <f t="shared" si="181"/>
        <v/>
      </c>
    </row>
    <row r="122" spans="2:42" s="46" customFormat="1" ht="18.75" customHeight="1">
      <c r="B122" s="226"/>
      <c r="C122" s="227">
        <f>IF(B122&lt;&gt;"",VLOOKUP(B122,'Tipo Projeto'!$A$3:$B$44,2,0),0)</f>
        <v>0</v>
      </c>
      <c r="D122" s="228"/>
      <c r="E122" s="236"/>
      <c r="F122" s="255"/>
      <c r="G122" s="228"/>
      <c r="H122" s="229"/>
      <c r="I122" s="230"/>
      <c r="J122" s="225"/>
      <c r="K122" s="231"/>
      <c r="L122" s="237"/>
      <c r="M122" s="232" t="str">
        <f t="shared" ref="M122" si="196">IF(G122="EE",IF(OR(AND(OR(K122=1,K122=0),I122&gt;0,I122&lt;5),AND(OR(K122=1,K122=0),I122&gt;4,I122&lt;16),AND(K122=2,I122&gt;0,I122&lt;5)),"Simples",IF(OR(AND(OR(K122=1,K122=0),I122&gt;15),AND(K122=2,I122&gt;4,I122&lt;16),AND(K122&gt;2,I122&gt;0,I122&lt;5)),"Médio",IF(OR(AND(K122=2,I122&gt;15),AND(K122&gt;2,I122&gt;4,I122&lt;16),AND(K122&gt;2,I122&gt;15)),"Complexo",""))),
IF(OR(G122="CE",G122="SE"),IF(OR(AND(OR(K122=1,K122=0),I122&gt;0,I122&lt;6),AND(OR(K122=1,K122=0),I122&gt;5,I122&lt;20),AND(K122&gt;1,K122&lt;4,I122&gt;0,I122&lt;6)),"Simples",IF(OR(AND(OR(K122=1,K122=0),I122&gt;19),AND(K122&gt;1,K122&lt;4,I122&gt;5,I122&lt;20),AND(K122&gt;3,I122&gt;0,I122&lt;6)),"Médio",IF(OR(AND(K122&gt;1,K122&lt;4,I122&gt;19),AND(K122&gt;3,I122&gt;5,I122&lt;20),AND(K122&gt;3,I122&gt;19)),"Complexo",""))),""))</f>
        <v/>
      </c>
      <c r="N122" s="233" t="str">
        <f t="shared" ref="N122" si="197">IF(G122="ALI",IF(OR(AND(OR(K122=1,K122=0),I122&gt;0,I122&lt;20),AND(OR(K122=1,K122=0),I122&gt;19,I122&lt;51),AND(K122&gt;1,K122&lt;6,I122&gt;0,I122&lt;20)),"Simples",IF(OR(AND(OR(K122=1,K122=0),I122&gt;50),AND(K122&gt;1,K122&lt;6,I122&gt;19,I122&lt;51),AND(K122&gt;5,I122&gt;0,I122&lt;20)),"Médio",IF(OR(AND(K122&gt;1,K122&lt;6,I122&gt;50),AND(K122&gt;5,I122&gt;19,I122&lt;51),AND(K122&gt;5,I122&gt;50)),"Complexo",""))),
IF(G122="AIE",IF(OR(AND(OR(K122=1, K122=0),I122&gt;0,I122&lt;20),AND(OR(K122=1, K122=0),I122&gt;19,I122&lt;51),AND(K122&gt;1,K122&lt;6,I122&gt;0,I122&lt;20)),"Simples",IF(OR(AND(OR(K122=1, K122=0),I122&gt;50),AND(K122&gt;1,K122&lt;6,I122&gt;19,I122&lt;51),AND(K122&gt;5,I122&gt;0,I122&lt;20)),"Médio",IF(OR(AND(K122&gt;1,K122&lt;6,I122&gt;50),AND(K122&gt;5,I122&gt;19,I122&lt;51),AND(K122&gt;5,I122&gt;50)),"Complexo",""))),""))</f>
        <v/>
      </c>
      <c r="O122" s="234" t="str">
        <f t="shared" ref="O122" si="198">IF(M122="",N122,IF(N122="",M122,""))</f>
        <v/>
      </c>
      <c r="P122" s="235">
        <f t="shared" ref="P122" si="199">IF(AND(OR(G122="EE",G122="CE"),O122="Simples"),3,
IF(AND(OR(G122="EE",G122="CE"),O122="Médio"),4,
IF(AND(OR(G122="EE",G122="CE"),O122="Complexo"),6,
IF(AND(G122="SE",O122="Simples"),4,
IF(AND(G122="SE",O122="Médio"),5,
IF(AND(G122="SE",O122="Complexo"),7,0))))))</f>
        <v>0</v>
      </c>
      <c r="Q122" s="235">
        <f t="shared" ref="Q122" si="200">IF(AND(G122="ALI",N122="Simples"),7,
IF(AND(G122="ALI",N122="Médio"),10,
IF(AND(G122="ALI",N122="Complexo"),15,
IF(AND(G122="AIE",N122="Simples"),5,
IF(AND(G122="AIE",N122="Médio"),7,
IF(AND(G122="AIE",N122="Complexo"),10,0))))))</f>
        <v>0</v>
      </c>
      <c r="R122" s="234">
        <f t="shared" ref="R122" si="201">IF(G122="INM",C122*H122,IF(AND(OR(G122="EE",G122="CE"),O122="Simples"),3,
IF(AND(OR(G122="EE",G122="CE"),O122="Médio"),4,
IF(AND(OR(G122="EE",G122="CE"),O122="Complexo"),6,
IF(AND(G122="SE",O122="Simples"),4,
IF(AND(G122="SE",O122="Médio"),5,
IF(AND(G122="SE",O122="Complexo"),7,
IF(AND(G122="ALI",O122="Médio"),10,
IF(AND(G122="ALI",O122="Simples"),7,
IF(AND(G122="ALI",O122="Complexo"),15,
IF(AND(G122="AIE",O122="Simples"),5,
IF(AND(G122="AIE",O122="Médio"),7,
IF(AND(G122="AIE",O122="Complexo"),10,0))
)))))))))))</f>
        <v>0</v>
      </c>
      <c r="S122" s="234">
        <f t="shared" ref="S122" si="202">IF(G122="INM",C122*H122,IF(B122&lt;&gt;"Manutenção em interface",IF(B122&lt;&gt;"Desenv., Manutenção e Publicação de Páginas Estáticas",(P122+Q122)*C122,C122),C122))</f>
        <v>0</v>
      </c>
      <c r="T122" s="236"/>
      <c r="U122" s="236"/>
      <c r="W122" s="184"/>
      <c r="X122" s="56"/>
      <c r="Y122" s="155">
        <f>IF(X122&lt;&gt;"",VLOOKUP(X122,'Tipo Projeto'!$A$3:$B$44,2,0),0)</f>
        <v>0</v>
      </c>
      <c r="Z122" s="44"/>
      <c r="AA122" s="57"/>
      <c r="AB122" s="170"/>
      <c r="AC122" s="174"/>
      <c r="AD122" s="165"/>
      <c r="AE122" s="171" t="str">
        <f t="shared" ref="AE122" si="203">IF(Z122="EE",IF(OR(AND(OR(AC122=1,AC122=0),AA122&gt;0,AA122&lt;5),AND(OR(AC122=1,AC122=0),AA122&gt;4,AA122&lt;16),AND(AC122=2,AA122&gt;0,AA122&lt;5)),"Simples",IF(OR(AND(OR(AC122=1,AC122=0),AA122&gt;15),AND(AC122=2,AA122&gt;4,AA122&lt;16),AND(AC122&gt;2,AA122&gt;0,AA122&lt;5)),"Médio",IF(OR(AND(AC122=2,AA122&gt;15),AND(AC122&gt;2,AA122&gt;4,AA122&lt;16),AND(AC122&gt;2,AA122&gt;15)),"Complexo",""))),
IF(OR(Z122="CE",Z122="SE"),IF(OR(AND(OR(AC122=1,AC122=0),AA122&gt;0,AA122&lt;6),AND(OR(AC122=1,AC122=0),AA122&gt;5,AA122&lt;20),AND(AC122&gt;1,AC122&lt;4,AA122&gt;0,AA122&lt;6)),"Simples",IF(OR(AND(OR(AC122=1,AC122=0),AA122&gt;19),AND(AC122&gt;1,AC122&lt;4,AA122&gt;5,AA122&lt;20),AND(AC122&gt;3,AA122&gt;0,AA122&lt;6)),"Médio",IF(OR(AND(AC122&gt;1,AC122&lt;4,AA122&gt;19),AND(AC122&gt;3,AA122&gt;5,AA122&lt;20),AND(AC122&gt;3,AA122&gt;19)),"Complexo",""))),""))</f>
        <v/>
      </c>
      <c r="AF122" s="45" t="str">
        <f t="shared" ref="AF122" si="204">IF(Z122="ALI",IF(OR(AND(OR(AC122=1,AC122=0),AA122&gt;0,AA122&lt;20),AND(OR(AC122=1,AC122=0),AA122&gt;19,AA122&lt;51),AND(AC122&gt;1,AC122&lt;6,AA122&gt;0,AA122&lt;20)),"Simples",IF(OR(AND(OR(AC122=1,AC122=0),AA122&gt;50),AND(AC122&gt;1,AC122&lt;6,AA122&gt;19,AA122&lt;51),AND(AC122&gt;5,AA122&gt;0,AA122&lt;20)),"Médio",IF(OR(AND(AC122&gt;1,AC122&lt;6,AA122&gt;50),AND(AC122&gt;5,AA122&gt;19,AA122&lt;51),AND(AC122&gt;5,AA122&gt;50)),"Complexo",""))),
IF(Z122="AIE",IF(OR(AND(OR(AC122=1, AC122=0),AA122&gt;0,AA122&lt;20),AND(OR(AC122=1, AC122=0),AA122&gt;19,AA122&lt;51),AND(AC122&gt;1,AC122&lt;6,AA122&gt;0,AA122&lt;20)),"Simples",IF(OR(AND(OR(AC122=1, AC122=0),AA122&gt;50),AND(AC122&gt;1,AC122&lt;6,AA122&gt;19,AA122&lt;51),AND(AC122&gt;5,AA122&gt;0,AA122&lt;20)),"Médio",IF(OR(AND(AC122&gt;1,AC122&lt;6,AA122&gt;50),AND(AC122&gt;5,AA122&gt;19,AA122&lt;51),AND(AC122&gt;5,AA122&gt;50)),"Complexo",""))),""))</f>
        <v/>
      </c>
      <c r="AG122" s="175" t="str">
        <f t="shared" ref="AG122" si="205">IF(AE122="",AF122,IF(AF122="",AE122,""))</f>
        <v/>
      </c>
      <c r="AH122" s="176">
        <f t="shared" ref="AH122" si="206">IF(AND(OR(Z122="EE",Z122="CE"),AG122="Simples"),3,
IF(AND(OR(Z122="EE",Z122="CE"),AG122="Médio"),4,
IF(AND(OR(Z122="EE",Z122="CE"),AG122="Complexo"),6,
IF(AND(Z122="SE",AG122="Simples"),4,
IF(AND(Z122="SE",AG122="Médio"),5,
IF(AND(Z122="SE",AG122="Complexo"),7,0))))))</f>
        <v>0</v>
      </c>
      <c r="AI122" s="176">
        <f t="shared" ref="AI122" si="207">IF(AND(Z122="ALI",AF122="Simples"),7,
IF(AND(Z122="ALI",AF122="Médio"),10,
IF(AND(Z122="ALI",AF122="Complexo"),15,
IF(AND(Z122="AIE",AF122="Simples"),5,
IF(AND(Z122="AIE",AF122="Médio"),7,
IF(AND(Z122="AIE",AF122="Complexo"),10,0))))))</f>
        <v>0</v>
      </c>
      <c r="AJ122" s="185">
        <f t="shared" ref="AJ122" si="208">IF(W122="OK",S122,(
IF(X122&lt;&gt;"Manutenção em interface",IF(X122&lt;&gt;"Desenv., Manutenção e Publicação de Páginas Estáticas",(AH122+AI122)*Y122,Y122),Y122)))</f>
        <v>0</v>
      </c>
      <c r="AK122" s="44"/>
      <c r="AM122" s="44"/>
      <c r="AO122" s="44"/>
      <c r="AP122" s="44" t="str">
        <f t="shared" ref="AP122" si="209">IF(AJ122=0,"",IF(AJ122=S122,"OK","Divergente"))</f>
        <v/>
      </c>
    </row>
    <row r="123" spans="2:42" s="46" customFormat="1" ht="18.75" customHeight="1">
      <c r="B123" s="226" t="s">
        <v>188</v>
      </c>
      <c r="C123" s="227">
        <f>IF(B123&lt;&gt;"",VLOOKUP(B123,'Tipo Projeto'!$A$3:$B$44,2,0),0)</f>
        <v>0.5</v>
      </c>
      <c r="D123" s="228" t="s">
        <v>366</v>
      </c>
      <c r="E123" s="236" t="s">
        <v>410</v>
      </c>
      <c r="F123" s="255" t="s">
        <v>383</v>
      </c>
      <c r="G123" s="228" t="s">
        <v>78</v>
      </c>
      <c r="H123" s="229"/>
      <c r="I123" s="230">
        <v>5</v>
      </c>
      <c r="J123" s="225" t="s">
        <v>385</v>
      </c>
      <c r="K123" s="231">
        <v>3</v>
      </c>
      <c r="L123" s="237" t="s">
        <v>463</v>
      </c>
      <c r="M123" s="232" t="str">
        <f t="shared" si="168"/>
        <v>Complexo</v>
      </c>
      <c r="N123" s="233" t="str">
        <f t="shared" si="169"/>
        <v/>
      </c>
      <c r="O123" s="234" t="str">
        <f t="shared" si="170"/>
        <v>Complexo</v>
      </c>
      <c r="P123" s="235">
        <f t="shared" si="171"/>
        <v>6</v>
      </c>
      <c r="Q123" s="235">
        <f t="shared" si="172"/>
        <v>0</v>
      </c>
      <c r="R123" s="234">
        <f t="shared" si="173"/>
        <v>6</v>
      </c>
      <c r="S123" s="234">
        <f t="shared" si="174"/>
        <v>3</v>
      </c>
      <c r="T123" s="236">
        <v>44</v>
      </c>
      <c r="U123" s="236"/>
      <c r="W123" s="184"/>
      <c r="X123" s="56"/>
      <c r="Y123" s="155">
        <f>IF(X123&lt;&gt;"",VLOOKUP(X123,'Tipo Projeto'!$A$3:$B$44,2,0),0)</f>
        <v>0</v>
      </c>
      <c r="Z123" s="44"/>
      <c r="AA123" s="57"/>
      <c r="AB123" s="170"/>
      <c r="AC123" s="174"/>
      <c r="AD123" s="165"/>
      <c r="AE123" s="171" t="str">
        <f t="shared" si="175"/>
        <v/>
      </c>
      <c r="AF123" s="45" t="str">
        <f t="shared" si="176"/>
        <v/>
      </c>
      <c r="AG123" s="175" t="str">
        <f t="shared" si="177"/>
        <v/>
      </c>
      <c r="AH123" s="176">
        <f t="shared" si="178"/>
        <v>0</v>
      </c>
      <c r="AI123" s="176">
        <f t="shared" si="179"/>
        <v>0</v>
      </c>
      <c r="AJ123" s="185">
        <f t="shared" si="180"/>
        <v>0</v>
      </c>
      <c r="AK123" s="44"/>
      <c r="AM123" s="44"/>
      <c r="AO123" s="44"/>
      <c r="AP123" s="44" t="str">
        <f t="shared" si="181"/>
        <v/>
      </c>
    </row>
    <row r="124" spans="2:42" s="46" customFormat="1" ht="18.75" customHeight="1">
      <c r="B124" s="226"/>
      <c r="C124" s="227">
        <f>IF(B124&lt;&gt;"",VLOOKUP(B124,'Tipo Projeto'!$A$3:$B$44,2,0),0)</f>
        <v>0</v>
      </c>
      <c r="D124" s="228"/>
      <c r="E124" s="236"/>
      <c r="F124" s="255"/>
      <c r="G124" s="228"/>
      <c r="H124" s="229"/>
      <c r="I124" s="230"/>
      <c r="J124" s="225"/>
      <c r="K124" s="231"/>
      <c r="L124" s="237"/>
      <c r="M124" s="232" t="str">
        <f t="shared" si="168"/>
        <v/>
      </c>
      <c r="N124" s="233" t="str">
        <f t="shared" si="169"/>
        <v/>
      </c>
      <c r="O124" s="234" t="str">
        <f t="shared" si="170"/>
        <v/>
      </c>
      <c r="P124" s="235">
        <f t="shared" si="171"/>
        <v>0</v>
      </c>
      <c r="Q124" s="235">
        <f t="shared" si="172"/>
        <v>0</v>
      </c>
      <c r="R124" s="234">
        <f t="shared" si="173"/>
        <v>0</v>
      </c>
      <c r="S124" s="234">
        <f t="shared" si="174"/>
        <v>0</v>
      </c>
      <c r="T124" s="236"/>
      <c r="U124" s="236"/>
      <c r="W124" s="184"/>
      <c r="X124" s="56"/>
      <c r="Y124" s="155">
        <f>IF(X124&lt;&gt;"",VLOOKUP(X124,'Tipo Projeto'!$A$3:$B$44,2,0),0)</f>
        <v>0</v>
      </c>
      <c r="Z124" s="44"/>
      <c r="AA124" s="57"/>
      <c r="AB124" s="170"/>
      <c r="AC124" s="174"/>
      <c r="AD124" s="165"/>
      <c r="AE124" s="171" t="str">
        <f t="shared" si="175"/>
        <v/>
      </c>
      <c r="AF124" s="45" t="str">
        <f t="shared" si="176"/>
        <v/>
      </c>
      <c r="AG124" s="175" t="str">
        <f t="shared" si="177"/>
        <v/>
      </c>
      <c r="AH124" s="176">
        <f t="shared" si="178"/>
        <v>0</v>
      </c>
      <c r="AI124" s="176">
        <f t="shared" si="179"/>
        <v>0</v>
      </c>
      <c r="AJ124" s="185">
        <f t="shared" si="180"/>
        <v>0</v>
      </c>
      <c r="AK124" s="44"/>
      <c r="AM124" s="44"/>
      <c r="AO124" s="44"/>
      <c r="AP124" s="44" t="str">
        <f t="shared" si="181"/>
        <v/>
      </c>
    </row>
    <row r="125" spans="2:42" s="46" customFormat="1" ht="18.75" customHeight="1">
      <c r="B125" s="226"/>
      <c r="C125" s="227">
        <f>IF(B125&lt;&gt;"",VLOOKUP(B125,'Tipo Projeto'!$A$3:$B$44,2,0),0)</f>
        <v>0</v>
      </c>
      <c r="D125" s="228" t="s">
        <v>479</v>
      </c>
      <c r="E125" s="236" t="s">
        <v>466</v>
      </c>
      <c r="F125" s="233" t="s">
        <v>473</v>
      </c>
      <c r="G125" s="228" t="s">
        <v>80</v>
      </c>
      <c r="H125" s="229"/>
      <c r="I125" s="230">
        <v>16</v>
      </c>
      <c r="J125" s="225" t="s">
        <v>474</v>
      </c>
      <c r="K125" s="231">
        <v>2</v>
      </c>
      <c r="L125" s="237" t="s">
        <v>462</v>
      </c>
      <c r="M125" s="232" t="str">
        <f t="shared" ref="M125:M152" si="210">IF(G125="EE",IF(OR(AND(OR(K125=1,K125=0),I125&gt;0,I125&lt;5),AND(OR(K125=1,K125=0),I125&gt;4,I125&lt;16),AND(K125=2,I125&gt;0,I125&lt;5)),"Simples",IF(OR(AND(OR(K125=1,K125=0),I125&gt;15),AND(K125=2,I125&gt;4,I125&lt;16),AND(K125&gt;2,I125&gt;0,I125&lt;5)),"Médio",IF(OR(AND(K125=2,I125&gt;15),AND(K125&gt;2,I125&gt;4,I125&lt;16),AND(K125&gt;2,I125&gt;15)),"Complexo",""))),
IF(OR(G125="CE",G125="SE"),IF(OR(AND(OR(K125=1,K125=0),I125&gt;0,I125&lt;6),AND(OR(K125=1,K125=0),I125&gt;5,I125&lt;20),AND(K125&gt;1,K125&lt;4,I125&gt;0,I125&lt;6)),"Simples",IF(OR(AND(OR(K125=1,K125=0),I125&gt;19),AND(K125&gt;1,K125&lt;4,I125&gt;5,I125&lt;20),AND(K125&gt;3,I125&gt;0,I125&lt;6)),"Médio",IF(OR(AND(K125&gt;1,K125&lt;4,I125&gt;19),AND(K125&gt;3,I125&gt;5,I125&lt;20),AND(K125&gt;3,I125&gt;19)),"Complexo",""))),""))</f>
        <v>Médio</v>
      </c>
      <c r="N125" s="233" t="str">
        <f t="shared" ref="N125:N152" si="211">IF(G125="ALI",IF(OR(AND(OR(K125=1,K125=0),I125&gt;0,I125&lt;20),AND(OR(K125=1,K125=0),I125&gt;19,I125&lt;51),AND(K125&gt;1,K125&lt;6,I125&gt;0,I125&lt;20)),"Simples",IF(OR(AND(OR(K125=1,K125=0),I125&gt;50),AND(K125&gt;1,K125&lt;6,I125&gt;19,I125&lt;51),AND(K125&gt;5,I125&gt;0,I125&lt;20)),"Médio",IF(OR(AND(K125&gt;1,K125&lt;6,I125&gt;50),AND(K125&gt;5,I125&gt;19,I125&lt;51),AND(K125&gt;5,I125&gt;50)),"Complexo",""))),
IF(G125="AIE",IF(OR(AND(OR(K125=1, K125=0),I125&gt;0,I125&lt;20),AND(OR(K125=1, K125=0),I125&gt;19,I125&lt;51),AND(K125&gt;1,K125&lt;6,I125&gt;0,I125&lt;20)),"Simples",IF(OR(AND(OR(K125=1, K125=0),I125&gt;50),AND(K125&gt;1,K125&lt;6,I125&gt;19,I125&lt;51),AND(K125&gt;5,I125&gt;0,I125&lt;20)),"Médio",IF(OR(AND(K125&gt;1,K125&lt;6,I125&gt;50),AND(K125&gt;5,I125&gt;19,I125&lt;51),AND(K125&gt;5,I125&gt;50)),"Complexo",""))),""))</f>
        <v/>
      </c>
      <c r="O125" s="234" t="str">
        <f t="shared" ref="O125:O152" si="212">IF(M125="",N125,IF(N125="",M125,""))</f>
        <v>Médio</v>
      </c>
      <c r="P125" s="235">
        <f t="shared" ref="P125:P152" si="213">IF(AND(OR(G125="EE",G125="CE"),O125="Simples"),3,
IF(AND(OR(G125="EE",G125="CE"),O125="Médio"),4,
IF(AND(OR(G125="EE",G125="CE"),O125="Complexo"),6,
IF(AND(G125="SE",O125="Simples"),4,
IF(AND(G125="SE",O125="Médio"),5,
IF(AND(G125="SE",O125="Complexo"),7,0))))))</f>
        <v>5</v>
      </c>
      <c r="Q125" s="235">
        <f t="shared" ref="Q125:Q152" si="214">IF(AND(G125="ALI",N125="Simples"),7,
IF(AND(G125="ALI",N125="Médio"),10,
IF(AND(G125="ALI",N125="Complexo"),15,
IF(AND(G125="AIE",N125="Simples"),5,
IF(AND(G125="AIE",N125="Médio"),7,
IF(AND(G125="AIE",N125="Complexo"),10,0))))))</f>
        <v>0</v>
      </c>
      <c r="R125" s="234">
        <f t="shared" ref="R125:R152" si="215">IF(G125="INM",C125*H125,IF(AND(OR(G125="EE",G125="CE"),O125="Simples"),3,
IF(AND(OR(G125="EE",G125="CE"),O125="Médio"),4,
IF(AND(OR(G125="EE",G125="CE"),O125="Complexo"),6,
IF(AND(G125="SE",O125="Simples"),4,
IF(AND(G125="SE",O125="Médio"),5,
IF(AND(G125="SE",O125="Complexo"),7,
IF(AND(G125="ALI",O125="Médio"),10,
IF(AND(G125="ALI",O125="Simples"),7,
IF(AND(G125="ALI",O125="Complexo"),15,
IF(AND(G125="AIE",O125="Simples"),5,
IF(AND(G125="AIE",O125="Médio"),7,
IF(AND(G125="AIE",O125="Complexo"),10,0))
)))))))))))</f>
        <v>5</v>
      </c>
      <c r="S125" s="234">
        <f t="shared" ref="S125:S152" si="216">IF(G125="INM",C125*H125,IF(B125&lt;&gt;"Manutenção em interface",IF(B125&lt;&gt;"Desenv., Manutenção e Publicação de Páginas Estáticas",(P125+Q125)*C125,C125),C125))</f>
        <v>0</v>
      </c>
      <c r="T125" s="236">
        <v>41</v>
      </c>
      <c r="U125" s="236" t="s">
        <v>472</v>
      </c>
      <c r="W125" s="184"/>
      <c r="X125" s="56"/>
      <c r="Y125" s="155">
        <f>IF(X125&lt;&gt;"",VLOOKUP(X125,'Tipo Projeto'!$A$3:$B$44,2,0),0)</f>
        <v>0</v>
      </c>
      <c r="Z125" s="44"/>
      <c r="AA125" s="57"/>
      <c r="AB125" s="170"/>
      <c r="AC125" s="174"/>
      <c r="AD125" s="165"/>
      <c r="AE125" s="171" t="str">
        <f t="shared" ref="AE125:AE152" si="217">IF(Z125="EE",IF(OR(AND(OR(AC125=1,AC125=0),AA125&gt;0,AA125&lt;5),AND(OR(AC125=1,AC125=0),AA125&gt;4,AA125&lt;16),AND(AC125=2,AA125&gt;0,AA125&lt;5)),"Simples",IF(OR(AND(OR(AC125=1,AC125=0),AA125&gt;15),AND(AC125=2,AA125&gt;4,AA125&lt;16),AND(AC125&gt;2,AA125&gt;0,AA125&lt;5)),"Médio",IF(OR(AND(AC125=2,AA125&gt;15),AND(AC125&gt;2,AA125&gt;4,AA125&lt;16),AND(AC125&gt;2,AA125&gt;15)),"Complexo",""))),
IF(OR(Z125="CE",Z125="SE"),IF(OR(AND(OR(AC125=1,AC125=0),AA125&gt;0,AA125&lt;6),AND(OR(AC125=1,AC125=0),AA125&gt;5,AA125&lt;20),AND(AC125&gt;1,AC125&lt;4,AA125&gt;0,AA125&lt;6)),"Simples",IF(OR(AND(OR(AC125=1,AC125=0),AA125&gt;19),AND(AC125&gt;1,AC125&lt;4,AA125&gt;5,AA125&lt;20),AND(AC125&gt;3,AA125&gt;0,AA125&lt;6)),"Médio",IF(OR(AND(AC125&gt;1,AC125&lt;4,AA125&gt;19),AND(AC125&gt;3,AA125&gt;5,AA125&lt;20),AND(AC125&gt;3,AA125&gt;19)),"Complexo",""))),""))</f>
        <v/>
      </c>
      <c r="AF125" s="45" t="str">
        <f t="shared" ref="AF125:AF152" si="218">IF(Z125="ALI",IF(OR(AND(OR(AC125=1,AC125=0),AA125&gt;0,AA125&lt;20),AND(OR(AC125=1,AC125=0),AA125&gt;19,AA125&lt;51),AND(AC125&gt;1,AC125&lt;6,AA125&gt;0,AA125&lt;20)),"Simples",IF(OR(AND(OR(AC125=1,AC125=0),AA125&gt;50),AND(AC125&gt;1,AC125&lt;6,AA125&gt;19,AA125&lt;51),AND(AC125&gt;5,AA125&gt;0,AA125&lt;20)),"Médio",IF(OR(AND(AC125&gt;1,AC125&lt;6,AA125&gt;50),AND(AC125&gt;5,AA125&gt;19,AA125&lt;51),AND(AC125&gt;5,AA125&gt;50)),"Complexo",""))),
IF(Z125="AIE",IF(OR(AND(OR(AC125=1, AC125=0),AA125&gt;0,AA125&lt;20),AND(OR(AC125=1, AC125=0),AA125&gt;19,AA125&lt;51),AND(AC125&gt;1,AC125&lt;6,AA125&gt;0,AA125&lt;20)),"Simples",IF(OR(AND(OR(AC125=1, AC125=0),AA125&gt;50),AND(AC125&gt;1,AC125&lt;6,AA125&gt;19,AA125&lt;51),AND(AC125&gt;5,AA125&gt;0,AA125&lt;20)),"Médio",IF(OR(AND(AC125&gt;1,AC125&lt;6,AA125&gt;50),AND(AC125&gt;5,AA125&gt;19,AA125&lt;51),AND(AC125&gt;5,AA125&gt;50)),"Complexo",""))),""))</f>
        <v/>
      </c>
      <c r="AG125" s="175" t="str">
        <f t="shared" ref="AG125:AG152" si="219">IF(AE125="",AF125,IF(AF125="",AE125,""))</f>
        <v/>
      </c>
      <c r="AH125" s="176">
        <f t="shared" ref="AH125:AH152" si="220">IF(AND(OR(Z125="EE",Z125="CE"),AG125="Simples"),3,
IF(AND(OR(Z125="EE",Z125="CE"),AG125="Médio"),4,
IF(AND(OR(Z125="EE",Z125="CE"),AG125="Complexo"),6,
IF(AND(Z125="SE",AG125="Simples"),4,
IF(AND(Z125="SE",AG125="Médio"),5,
IF(AND(Z125="SE",AG125="Complexo"),7,0))))))</f>
        <v>0</v>
      </c>
      <c r="AI125" s="176">
        <f t="shared" ref="AI125:AI152" si="221">IF(AND(Z125="ALI",AF125="Simples"),7,
IF(AND(Z125="ALI",AF125="Médio"),10,
IF(AND(Z125="ALI",AF125="Complexo"),15,
IF(AND(Z125="AIE",AF125="Simples"),5,
IF(AND(Z125="AIE",AF125="Médio"),7,
IF(AND(Z125="AIE",AF125="Complexo"),10,0))))))</f>
        <v>0</v>
      </c>
      <c r="AJ125" s="185">
        <f t="shared" ref="AJ125:AJ152" si="222">IF(W125="OK",S125,(
IF(X125&lt;&gt;"Manutenção em interface",IF(X125&lt;&gt;"Desenv., Manutenção e Publicação de Páginas Estáticas",(AH125+AI125)*Y125,Y125),Y125)))</f>
        <v>0</v>
      </c>
      <c r="AK125" s="44"/>
      <c r="AM125" s="44"/>
      <c r="AO125" s="44"/>
      <c r="AP125" s="44" t="str">
        <f t="shared" ref="AP125:AP152" si="223">IF(AJ125=0,"",IF(AJ125=S125,"OK","Divergente"))</f>
        <v/>
      </c>
    </row>
    <row r="126" spans="2:42" s="46" customFormat="1" ht="18.75" customHeight="1">
      <c r="B126" s="226"/>
      <c r="C126" s="227">
        <f>IF(B126&lt;&gt;"",VLOOKUP(B126,'Tipo Projeto'!$A$3:$B$44,2,0),0)</f>
        <v>0</v>
      </c>
      <c r="D126" s="228" t="s">
        <v>479</v>
      </c>
      <c r="E126" s="236" t="s">
        <v>466</v>
      </c>
      <c r="F126" s="233" t="s">
        <v>467</v>
      </c>
      <c r="G126" s="228" t="s">
        <v>78</v>
      </c>
      <c r="H126" s="229"/>
      <c r="I126" s="230">
        <v>6</v>
      </c>
      <c r="J126" s="225" t="s">
        <v>475</v>
      </c>
      <c r="K126" s="231">
        <v>1</v>
      </c>
      <c r="L126" s="237" t="s">
        <v>315</v>
      </c>
      <c r="M126" s="232" t="str">
        <f t="shared" si="210"/>
        <v>Simples</v>
      </c>
      <c r="N126" s="233" t="str">
        <f t="shared" si="211"/>
        <v/>
      </c>
      <c r="O126" s="234" t="str">
        <f t="shared" si="212"/>
        <v>Simples</v>
      </c>
      <c r="P126" s="235">
        <f t="shared" si="213"/>
        <v>3</v>
      </c>
      <c r="Q126" s="235">
        <f t="shared" si="214"/>
        <v>0</v>
      </c>
      <c r="R126" s="234">
        <f t="shared" si="215"/>
        <v>3</v>
      </c>
      <c r="S126" s="234">
        <f t="shared" si="216"/>
        <v>0</v>
      </c>
      <c r="T126" s="236">
        <v>41</v>
      </c>
      <c r="U126" s="236"/>
      <c r="W126" s="184"/>
      <c r="X126" s="56"/>
      <c r="Y126" s="155">
        <f>IF(X126&lt;&gt;"",VLOOKUP(X126,'Tipo Projeto'!$A$3:$B$44,2,0),0)</f>
        <v>0</v>
      </c>
      <c r="Z126" s="44"/>
      <c r="AA126" s="57"/>
      <c r="AB126" s="170"/>
      <c r="AC126" s="174"/>
      <c r="AD126" s="165"/>
      <c r="AE126" s="171" t="str">
        <f t="shared" si="217"/>
        <v/>
      </c>
      <c r="AF126" s="45" t="str">
        <f t="shared" si="218"/>
        <v/>
      </c>
      <c r="AG126" s="175" t="str">
        <f t="shared" si="219"/>
        <v/>
      </c>
      <c r="AH126" s="176">
        <f t="shared" si="220"/>
        <v>0</v>
      </c>
      <c r="AI126" s="176">
        <f t="shared" si="221"/>
        <v>0</v>
      </c>
      <c r="AJ126" s="185">
        <f t="shared" si="222"/>
        <v>0</v>
      </c>
      <c r="AK126" s="44"/>
      <c r="AM126" s="44"/>
      <c r="AO126" s="44"/>
      <c r="AP126" s="44" t="str">
        <f t="shared" si="223"/>
        <v/>
      </c>
    </row>
    <row r="127" spans="2:42" s="46" customFormat="1" ht="18.75" customHeight="1">
      <c r="B127" s="226"/>
      <c r="C127" s="227">
        <f>IF(B127&lt;&gt;"",VLOOKUP(B127,'Tipo Projeto'!$A$3:$B$44,2,0),0)</f>
        <v>0</v>
      </c>
      <c r="D127" s="228" t="s">
        <v>479</v>
      </c>
      <c r="E127" s="236" t="s">
        <v>466</v>
      </c>
      <c r="F127" s="233" t="s">
        <v>468</v>
      </c>
      <c r="G127" s="228" t="s">
        <v>78</v>
      </c>
      <c r="H127" s="229"/>
      <c r="I127" s="230">
        <v>7</v>
      </c>
      <c r="J127" s="225" t="s">
        <v>476</v>
      </c>
      <c r="K127" s="231">
        <v>1</v>
      </c>
      <c r="L127" s="237" t="s">
        <v>315</v>
      </c>
      <c r="M127" s="232" t="str">
        <f t="shared" si="210"/>
        <v>Simples</v>
      </c>
      <c r="N127" s="233" t="str">
        <f t="shared" si="211"/>
        <v/>
      </c>
      <c r="O127" s="234" t="str">
        <f t="shared" si="212"/>
        <v>Simples</v>
      </c>
      <c r="P127" s="235">
        <f t="shared" si="213"/>
        <v>3</v>
      </c>
      <c r="Q127" s="235">
        <f t="shared" si="214"/>
        <v>0</v>
      </c>
      <c r="R127" s="234">
        <f t="shared" si="215"/>
        <v>3</v>
      </c>
      <c r="S127" s="234">
        <f t="shared" si="216"/>
        <v>0</v>
      </c>
      <c r="T127" s="236">
        <v>41</v>
      </c>
      <c r="U127" s="236"/>
      <c r="W127" s="184"/>
      <c r="X127" s="56"/>
      <c r="Y127" s="155">
        <f>IF(X127&lt;&gt;"",VLOOKUP(X127,'Tipo Projeto'!$A$3:$B$44,2,0),0)</f>
        <v>0</v>
      </c>
      <c r="Z127" s="44"/>
      <c r="AA127" s="57"/>
      <c r="AB127" s="170"/>
      <c r="AC127" s="174"/>
      <c r="AD127" s="165"/>
      <c r="AE127" s="171" t="str">
        <f t="shared" si="217"/>
        <v/>
      </c>
      <c r="AF127" s="45" t="str">
        <f t="shared" si="218"/>
        <v/>
      </c>
      <c r="AG127" s="175" t="str">
        <f t="shared" si="219"/>
        <v/>
      </c>
      <c r="AH127" s="176">
        <f t="shared" si="220"/>
        <v>0</v>
      </c>
      <c r="AI127" s="176">
        <f t="shared" si="221"/>
        <v>0</v>
      </c>
      <c r="AJ127" s="185">
        <f t="shared" si="222"/>
        <v>0</v>
      </c>
      <c r="AK127" s="44"/>
      <c r="AM127" s="44"/>
      <c r="AO127" s="44"/>
      <c r="AP127" s="44" t="str">
        <f t="shared" si="223"/>
        <v/>
      </c>
    </row>
    <row r="128" spans="2:42" s="46" customFormat="1" ht="18.75" customHeight="1">
      <c r="B128" s="226"/>
      <c r="C128" s="227">
        <f>IF(B128&lt;&gt;"",VLOOKUP(B128,'Tipo Projeto'!$A$3:$B$44,2,0),0)</f>
        <v>0</v>
      </c>
      <c r="D128" s="228" t="s">
        <v>479</v>
      </c>
      <c r="E128" s="236" t="s">
        <v>466</v>
      </c>
      <c r="F128" s="233" t="s">
        <v>477</v>
      </c>
      <c r="G128" s="228" t="s">
        <v>79</v>
      </c>
      <c r="H128" s="229"/>
      <c r="I128" s="230"/>
      <c r="J128" s="225"/>
      <c r="K128" s="231"/>
      <c r="L128" s="237"/>
      <c r="M128" s="232" t="str">
        <f t="shared" si="210"/>
        <v/>
      </c>
      <c r="N128" s="233" t="str">
        <f t="shared" si="211"/>
        <v/>
      </c>
      <c r="O128" s="234" t="str">
        <f t="shared" si="212"/>
        <v/>
      </c>
      <c r="P128" s="235">
        <f t="shared" si="213"/>
        <v>0</v>
      </c>
      <c r="Q128" s="235">
        <f t="shared" si="214"/>
        <v>0</v>
      </c>
      <c r="R128" s="234">
        <f t="shared" si="215"/>
        <v>0</v>
      </c>
      <c r="S128" s="234">
        <f t="shared" si="216"/>
        <v>0</v>
      </c>
      <c r="T128" s="236">
        <v>41</v>
      </c>
      <c r="U128" s="236" t="s">
        <v>544</v>
      </c>
      <c r="W128" s="184"/>
      <c r="X128" s="56"/>
      <c r="Y128" s="155">
        <f>IF(X128&lt;&gt;"",VLOOKUP(X128,'Tipo Projeto'!$A$3:$B$44,2,0),0)</f>
        <v>0</v>
      </c>
      <c r="Z128" s="44"/>
      <c r="AA128" s="57"/>
      <c r="AB128" s="170"/>
      <c r="AC128" s="174"/>
      <c r="AD128" s="165"/>
      <c r="AE128" s="171" t="str">
        <f t="shared" si="217"/>
        <v/>
      </c>
      <c r="AF128" s="45" t="str">
        <f t="shared" si="218"/>
        <v/>
      </c>
      <c r="AG128" s="175" t="str">
        <f t="shared" si="219"/>
        <v/>
      </c>
      <c r="AH128" s="176">
        <f t="shared" si="220"/>
        <v>0</v>
      </c>
      <c r="AI128" s="176">
        <f t="shared" si="221"/>
        <v>0</v>
      </c>
      <c r="AJ128" s="185">
        <f t="shared" si="222"/>
        <v>0</v>
      </c>
      <c r="AK128" s="44"/>
      <c r="AM128" s="44"/>
      <c r="AO128" s="44"/>
      <c r="AP128" s="44" t="str">
        <f t="shared" si="223"/>
        <v/>
      </c>
    </row>
    <row r="129" spans="2:42" s="46" customFormat="1" ht="18.75" customHeight="1">
      <c r="B129" s="226"/>
      <c r="C129" s="227">
        <f>IF(B129&lt;&gt;"",VLOOKUP(B129,'Tipo Projeto'!$A$3:$B$44,2,0),0)</f>
        <v>0</v>
      </c>
      <c r="D129" s="228" t="s">
        <v>479</v>
      </c>
      <c r="E129" s="236" t="s">
        <v>466</v>
      </c>
      <c r="F129" s="233" t="s">
        <v>469</v>
      </c>
      <c r="G129" s="228" t="s">
        <v>78</v>
      </c>
      <c r="H129" s="229"/>
      <c r="I129" s="230">
        <v>7</v>
      </c>
      <c r="J129" s="225" t="s">
        <v>476</v>
      </c>
      <c r="K129" s="231">
        <v>1</v>
      </c>
      <c r="L129" s="237" t="s">
        <v>315</v>
      </c>
      <c r="M129" s="232" t="str">
        <f t="shared" si="210"/>
        <v>Simples</v>
      </c>
      <c r="N129" s="233" t="str">
        <f t="shared" si="211"/>
        <v/>
      </c>
      <c r="O129" s="234" t="str">
        <f t="shared" si="212"/>
        <v>Simples</v>
      </c>
      <c r="P129" s="235">
        <f t="shared" si="213"/>
        <v>3</v>
      </c>
      <c r="Q129" s="235">
        <f t="shared" si="214"/>
        <v>0</v>
      </c>
      <c r="R129" s="234">
        <f t="shared" si="215"/>
        <v>3</v>
      </c>
      <c r="S129" s="234">
        <f t="shared" si="216"/>
        <v>0</v>
      </c>
      <c r="T129" s="236">
        <v>41</v>
      </c>
      <c r="U129" s="236"/>
      <c r="W129" s="184"/>
      <c r="X129" s="56"/>
      <c r="Y129" s="155">
        <f>IF(X129&lt;&gt;"",VLOOKUP(X129,'Tipo Projeto'!$A$3:$B$44,2,0),0)</f>
        <v>0</v>
      </c>
      <c r="Z129" s="44"/>
      <c r="AA129" s="57"/>
      <c r="AB129" s="170"/>
      <c r="AC129" s="174"/>
      <c r="AD129" s="165"/>
      <c r="AE129" s="171" t="str">
        <f t="shared" si="217"/>
        <v/>
      </c>
      <c r="AF129" s="45" t="str">
        <f t="shared" si="218"/>
        <v/>
      </c>
      <c r="AG129" s="175" t="str">
        <f t="shared" si="219"/>
        <v/>
      </c>
      <c r="AH129" s="176">
        <f t="shared" si="220"/>
        <v>0</v>
      </c>
      <c r="AI129" s="176">
        <f t="shared" si="221"/>
        <v>0</v>
      </c>
      <c r="AJ129" s="185">
        <f t="shared" si="222"/>
        <v>0</v>
      </c>
      <c r="AK129" s="44"/>
      <c r="AM129" s="44"/>
      <c r="AO129" s="44"/>
      <c r="AP129" s="44" t="str">
        <f t="shared" si="223"/>
        <v/>
      </c>
    </row>
    <row r="130" spans="2:42" s="46" customFormat="1" ht="18.75" customHeight="1">
      <c r="B130" s="226"/>
      <c r="C130" s="227">
        <f>IF(B130&lt;&gt;"",VLOOKUP(B130,'Tipo Projeto'!$A$3:$B$44,2,0),0)</f>
        <v>0</v>
      </c>
      <c r="D130" s="228" t="s">
        <v>479</v>
      </c>
      <c r="E130" s="236" t="s">
        <v>466</v>
      </c>
      <c r="F130" s="233" t="s">
        <v>470</v>
      </c>
      <c r="G130" s="228" t="s">
        <v>78</v>
      </c>
      <c r="H130" s="229"/>
      <c r="I130" s="230">
        <v>3</v>
      </c>
      <c r="J130" s="225" t="s">
        <v>272</v>
      </c>
      <c r="K130" s="231">
        <v>1</v>
      </c>
      <c r="L130" s="237" t="s">
        <v>315</v>
      </c>
      <c r="M130" s="232" t="str">
        <f t="shared" si="210"/>
        <v>Simples</v>
      </c>
      <c r="N130" s="233" t="str">
        <f t="shared" si="211"/>
        <v/>
      </c>
      <c r="O130" s="234" t="str">
        <f t="shared" si="212"/>
        <v>Simples</v>
      </c>
      <c r="P130" s="235">
        <f t="shared" si="213"/>
        <v>3</v>
      </c>
      <c r="Q130" s="235">
        <f t="shared" si="214"/>
        <v>0</v>
      </c>
      <c r="R130" s="234">
        <f t="shared" si="215"/>
        <v>3</v>
      </c>
      <c r="S130" s="234">
        <f t="shared" si="216"/>
        <v>0</v>
      </c>
      <c r="T130" s="236">
        <v>41</v>
      </c>
      <c r="U130" s="236"/>
      <c r="W130" s="184"/>
      <c r="X130" s="56"/>
      <c r="Y130" s="155">
        <f>IF(X130&lt;&gt;"",VLOOKUP(X130,'Tipo Projeto'!$A$3:$B$44,2,0),0)</f>
        <v>0</v>
      </c>
      <c r="Z130" s="44"/>
      <c r="AA130" s="57"/>
      <c r="AB130" s="170"/>
      <c r="AC130" s="174"/>
      <c r="AD130" s="165"/>
      <c r="AE130" s="171" t="str">
        <f t="shared" si="217"/>
        <v/>
      </c>
      <c r="AF130" s="45" t="str">
        <f t="shared" si="218"/>
        <v/>
      </c>
      <c r="AG130" s="175" t="str">
        <f t="shared" si="219"/>
        <v/>
      </c>
      <c r="AH130" s="176">
        <f t="shared" si="220"/>
        <v>0</v>
      </c>
      <c r="AI130" s="176">
        <f t="shared" si="221"/>
        <v>0</v>
      </c>
      <c r="AJ130" s="185">
        <f t="shared" si="222"/>
        <v>0</v>
      </c>
      <c r="AK130" s="44"/>
      <c r="AM130" s="44"/>
      <c r="AO130" s="44"/>
      <c r="AP130" s="44" t="str">
        <f t="shared" si="223"/>
        <v/>
      </c>
    </row>
    <row r="131" spans="2:42" s="46" customFormat="1" ht="18.75" customHeight="1">
      <c r="B131" s="226"/>
      <c r="C131" s="227">
        <f>IF(B131&lt;&gt;"",VLOOKUP(B131,'Tipo Projeto'!$A$3:$B$44,2,0),0)</f>
        <v>0</v>
      </c>
      <c r="D131" s="228" t="s">
        <v>479</v>
      </c>
      <c r="E131" s="236" t="s">
        <v>466</v>
      </c>
      <c r="F131" s="233" t="s">
        <v>471</v>
      </c>
      <c r="G131" s="228" t="s">
        <v>78</v>
      </c>
      <c r="H131" s="229"/>
      <c r="I131" s="230">
        <v>4</v>
      </c>
      <c r="J131" s="225" t="s">
        <v>478</v>
      </c>
      <c r="K131" s="231">
        <v>1</v>
      </c>
      <c r="L131" s="237" t="s">
        <v>315</v>
      </c>
      <c r="M131" s="232" t="str">
        <f t="shared" si="210"/>
        <v>Simples</v>
      </c>
      <c r="N131" s="233" t="str">
        <f t="shared" si="211"/>
        <v/>
      </c>
      <c r="O131" s="234" t="str">
        <f t="shared" si="212"/>
        <v>Simples</v>
      </c>
      <c r="P131" s="235">
        <f t="shared" si="213"/>
        <v>3</v>
      </c>
      <c r="Q131" s="235">
        <f t="shared" si="214"/>
        <v>0</v>
      </c>
      <c r="R131" s="234">
        <f t="shared" si="215"/>
        <v>3</v>
      </c>
      <c r="S131" s="234">
        <f t="shared" si="216"/>
        <v>0</v>
      </c>
      <c r="T131" s="236">
        <v>41</v>
      </c>
      <c r="U131" s="236"/>
      <c r="W131" s="184"/>
      <c r="X131" s="56"/>
      <c r="Y131" s="155">
        <f>IF(X131&lt;&gt;"",VLOOKUP(X131,'Tipo Projeto'!$A$3:$B$44,2,0),0)</f>
        <v>0</v>
      </c>
      <c r="Z131" s="44"/>
      <c r="AA131" s="57"/>
      <c r="AB131" s="170"/>
      <c r="AC131" s="174"/>
      <c r="AD131" s="165"/>
      <c r="AE131" s="171" t="str">
        <f t="shared" si="217"/>
        <v/>
      </c>
      <c r="AF131" s="45" t="str">
        <f t="shared" si="218"/>
        <v/>
      </c>
      <c r="AG131" s="175" t="str">
        <f t="shared" si="219"/>
        <v/>
      </c>
      <c r="AH131" s="176">
        <f t="shared" si="220"/>
        <v>0</v>
      </c>
      <c r="AI131" s="176">
        <f t="shared" si="221"/>
        <v>0</v>
      </c>
      <c r="AJ131" s="185">
        <f t="shared" si="222"/>
        <v>0</v>
      </c>
      <c r="AK131" s="44"/>
      <c r="AM131" s="44"/>
      <c r="AO131" s="44"/>
      <c r="AP131" s="44" t="str">
        <f t="shared" si="223"/>
        <v/>
      </c>
    </row>
    <row r="132" spans="2:42" s="46" customFormat="1" ht="18.75" customHeight="1">
      <c r="B132" s="226"/>
      <c r="C132" s="227">
        <f>IF(B132&lt;&gt;"",VLOOKUP(B132,'Tipo Projeto'!$A$3:$B$44,2,0),0)</f>
        <v>0</v>
      </c>
      <c r="D132" s="228"/>
      <c r="E132" s="236"/>
      <c r="F132" s="233"/>
      <c r="G132" s="228"/>
      <c r="H132" s="229"/>
      <c r="I132" s="230"/>
      <c r="J132" s="225"/>
      <c r="K132" s="231"/>
      <c r="L132" s="237"/>
      <c r="M132" s="232" t="str">
        <f t="shared" si="210"/>
        <v/>
      </c>
      <c r="N132" s="233" t="str">
        <f t="shared" si="211"/>
        <v/>
      </c>
      <c r="O132" s="234" t="str">
        <f t="shared" si="212"/>
        <v/>
      </c>
      <c r="P132" s="235">
        <f t="shared" si="213"/>
        <v>0</v>
      </c>
      <c r="Q132" s="235">
        <f t="shared" si="214"/>
        <v>0</v>
      </c>
      <c r="R132" s="234">
        <f t="shared" si="215"/>
        <v>0</v>
      </c>
      <c r="S132" s="234">
        <f t="shared" si="216"/>
        <v>0</v>
      </c>
      <c r="T132" s="236"/>
      <c r="U132" s="236"/>
      <c r="W132" s="184"/>
      <c r="X132" s="56"/>
      <c r="Y132" s="155">
        <f>IF(X132&lt;&gt;"",VLOOKUP(X132,'Tipo Projeto'!$A$3:$B$44,2,0),0)</f>
        <v>0</v>
      </c>
      <c r="Z132" s="44"/>
      <c r="AA132" s="57"/>
      <c r="AB132" s="170"/>
      <c r="AC132" s="174"/>
      <c r="AD132" s="165"/>
      <c r="AE132" s="171" t="str">
        <f t="shared" si="217"/>
        <v/>
      </c>
      <c r="AF132" s="45" t="str">
        <f t="shared" si="218"/>
        <v/>
      </c>
      <c r="AG132" s="175" t="str">
        <f t="shared" si="219"/>
        <v/>
      </c>
      <c r="AH132" s="176">
        <f t="shared" si="220"/>
        <v>0</v>
      </c>
      <c r="AI132" s="176">
        <f t="shared" si="221"/>
        <v>0</v>
      </c>
      <c r="AJ132" s="185">
        <f t="shared" si="222"/>
        <v>0</v>
      </c>
      <c r="AK132" s="44"/>
      <c r="AM132" s="44"/>
      <c r="AO132" s="44"/>
      <c r="AP132" s="44" t="str">
        <f t="shared" si="223"/>
        <v/>
      </c>
    </row>
    <row r="133" spans="2:42" s="46" customFormat="1" ht="18.75" customHeight="1">
      <c r="B133" s="226"/>
      <c r="C133" s="227">
        <f>IF(B133&lt;&gt;"",VLOOKUP(B133,'Tipo Projeto'!$A$3:$B$44,2,0),0)</f>
        <v>0</v>
      </c>
      <c r="D133" s="228" t="s">
        <v>479</v>
      </c>
      <c r="E133" s="236" t="s">
        <v>484</v>
      </c>
      <c r="F133" s="233" t="s">
        <v>482</v>
      </c>
      <c r="G133" s="228" t="s">
        <v>79</v>
      </c>
      <c r="H133" s="229"/>
      <c r="I133" s="230">
        <v>4</v>
      </c>
      <c r="J133" s="225" t="s">
        <v>485</v>
      </c>
      <c r="K133" s="231">
        <v>1</v>
      </c>
      <c r="L133" s="237" t="s">
        <v>315</v>
      </c>
      <c r="M133" s="232" t="str">
        <f t="shared" ref="M133:M143" si="224">IF(G133="EE",IF(OR(AND(OR(K133=1,K133=0),I133&gt;0,I133&lt;5),AND(OR(K133=1,K133=0),I133&gt;4,I133&lt;16),AND(K133=2,I133&gt;0,I133&lt;5)),"Simples",IF(OR(AND(OR(K133=1,K133=0),I133&gt;15),AND(K133=2,I133&gt;4,I133&lt;16),AND(K133&gt;2,I133&gt;0,I133&lt;5)),"Médio",IF(OR(AND(K133=2,I133&gt;15),AND(K133&gt;2,I133&gt;4,I133&lt;16),AND(K133&gt;2,I133&gt;15)),"Complexo",""))),
IF(OR(G133="CE",G133="SE"),IF(OR(AND(OR(K133=1,K133=0),I133&gt;0,I133&lt;6),AND(OR(K133=1,K133=0),I133&gt;5,I133&lt;20),AND(K133&gt;1,K133&lt;4,I133&gt;0,I133&lt;6)),"Simples",IF(OR(AND(OR(K133=1,K133=0),I133&gt;19),AND(K133&gt;1,K133&lt;4,I133&gt;5,I133&lt;20),AND(K133&gt;3,I133&gt;0,I133&lt;6)),"Médio",IF(OR(AND(K133&gt;1,K133&lt;4,I133&gt;19),AND(K133&gt;3,I133&gt;5,I133&lt;20),AND(K133&gt;3,I133&gt;19)),"Complexo",""))),""))</f>
        <v>Simples</v>
      </c>
      <c r="N133" s="233" t="str">
        <f t="shared" ref="N133:N143" si="225">IF(G133="ALI",IF(OR(AND(OR(K133=1,K133=0),I133&gt;0,I133&lt;20),AND(OR(K133=1,K133=0),I133&gt;19,I133&lt;51),AND(K133&gt;1,K133&lt;6,I133&gt;0,I133&lt;20)),"Simples",IF(OR(AND(OR(K133=1,K133=0),I133&gt;50),AND(K133&gt;1,K133&lt;6,I133&gt;19,I133&lt;51),AND(K133&gt;5,I133&gt;0,I133&lt;20)),"Médio",IF(OR(AND(K133&gt;1,K133&lt;6,I133&gt;50),AND(K133&gt;5,I133&gt;19,I133&lt;51),AND(K133&gt;5,I133&gt;50)),"Complexo",""))),
IF(G133="AIE",IF(OR(AND(OR(K133=1, K133=0),I133&gt;0,I133&lt;20),AND(OR(K133=1, K133=0),I133&gt;19,I133&lt;51),AND(K133&gt;1,K133&lt;6,I133&gt;0,I133&lt;20)),"Simples",IF(OR(AND(OR(K133=1, K133=0),I133&gt;50),AND(K133&gt;1,K133&lt;6,I133&gt;19,I133&lt;51),AND(K133&gt;5,I133&gt;0,I133&lt;20)),"Médio",IF(OR(AND(K133&gt;1,K133&lt;6,I133&gt;50),AND(K133&gt;5,I133&gt;19,I133&lt;51),AND(K133&gt;5,I133&gt;50)),"Complexo",""))),""))</f>
        <v/>
      </c>
      <c r="O133" s="234" t="str">
        <f t="shared" ref="O133:O143" si="226">IF(M133="",N133,IF(N133="",M133,""))</f>
        <v>Simples</v>
      </c>
      <c r="P133" s="235">
        <f t="shared" ref="P133:P143" si="227">IF(AND(OR(G133="EE",G133="CE"),O133="Simples"),3,
IF(AND(OR(G133="EE",G133="CE"),O133="Médio"),4,
IF(AND(OR(G133="EE",G133="CE"),O133="Complexo"),6,
IF(AND(G133="SE",O133="Simples"),4,
IF(AND(G133="SE",O133="Médio"),5,
IF(AND(G133="SE",O133="Complexo"),7,0))))))</f>
        <v>3</v>
      </c>
      <c r="Q133" s="235">
        <f t="shared" ref="Q133:Q143" si="228">IF(AND(G133="ALI",N133="Simples"),7,
IF(AND(G133="ALI",N133="Médio"),10,
IF(AND(G133="ALI",N133="Complexo"),15,
IF(AND(G133="AIE",N133="Simples"),5,
IF(AND(G133="AIE",N133="Médio"),7,
IF(AND(G133="AIE",N133="Complexo"),10,0))))))</f>
        <v>0</v>
      </c>
      <c r="R133" s="234">
        <f t="shared" ref="R133:R143" si="229">IF(G133="INM",C133*H133,IF(AND(OR(G133="EE",G133="CE"),O133="Simples"),3,
IF(AND(OR(G133="EE",G133="CE"),O133="Médio"),4,
IF(AND(OR(G133="EE",G133="CE"),O133="Complexo"),6,
IF(AND(G133="SE",O133="Simples"),4,
IF(AND(G133="SE",O133="Médio"),5,
IF(AND(G133="SE",O133="Complexo"),7,
IF(AND(G133="ALI",O133="Médio"),10,
IF(AND(G133="ALI",O133="Simples"),7,
IF(AND(G133="ALI",O133="Complexo"),15,
IF(AND(G133="AIE",O133="Simples"),5,
IF(AND(G133="AIE",O133="Médio"),7,
IF(AND(G133="AIE",O133="Complexo"),10,0))
)))))))))))</f>
        <v>3</v>
      </c>
      <c r="S133" s="234">
        <f t="shared" ref="S133:S143" si="230">IF(G133="INM",C133*H133,IF(B133&lt;&gt;"Manutenção em interface",IF(B133&lt;&gt;"Desenv., Manutenção e Publicação de Páginas Estáticas",(P133+Q133)*C133,C133),C133))</f>
        <v>0</v>
      </c>
      <c r="T133" s="236">
        <v>42</v>
      </c>
      <c r="U133" s="236"/>
      <c r="W133" s="184"/>
      <c r="X133" s="56"/>
      <c r="Y133" s="155">
        <f>IF(X133&lt;&gt;"",VLOOKUP(X133,'Tipo Projeto'!$A$3:$B$44,2,0),0)</f>
        <v>0</v>
      </c>
      <c r="Z133" s="44"/>
      <c r="AA133" s="57"/>
      <c r="AB133" s="170"/>
      <c r="AC133" s="174"/>
      <c r="AD133" s="165"/>
      <c r="AE133" s="171" t="str">
        <f t="shared" ref="AE133:AE143" si="231">IF(Z133="EE",IF(OR(AND(OR(AC133=1,AC133=0),AA133&gt;0,AA133&lt;5),AND(OR(AC133=1,AC133=0),AA133&gt;4,AA133&lt;16),AND(AC133=2,AA133&gt;0,AA133&lt;5)),"Simples",IF(OR(AND(OR(AC133=1,AC133=0),AA133&gt;15),AND(AC133=2,AA133&gt;4,AA133&lt;16),AND(AC133&gt;2,AA133&gt;0,AA133&lt;5)),"Médio",IF(OR(AND(AC133=2,AA133&gt;15),AND(AC133&gt;2,AA133&gt;4,AA133&lt;16),AND(AC133&gt;2,AA133&gt;15)),"Complexo",""))),
IF(OR(Z133="CE",Z133="SE"),IF(OR(AND(OR(AC133=1,AC133=0),AA133&gt;0,AA133&lt;6),AND(OR(AC133=1,AC133=0),AA133&gt;5,AA133&lt;20),AND(AC133&gt;1,AC133&lt;4,AA133&gt;0,AA133&lt;6)),"Simples",IF(OR(AND(OR(AC133=1,AC133=0),AA133&gt;19),AND(AC133&gt;1,AC133&lt;4,AA133&gt;5,AA133&lt;20),AND(AC133&gt;3,AA133&gt;0,AA133&lt;6)),"Médio",IF(OR(AND(AC133&gt;1,AC133&lt;4,AA133&gt;19),AND(AC133&gt;3,AA133&gt;5,AA133&lt;20),AND(AC133&gt;3,AA133&gt;19)),"Complexo",""))),""))</f>
        <v/>
      </c>
      <c r="AF133" s="45" t="str">
        <f t="shared" ref="AF133:AF143" si="232">IF(Z133="ALI",IF(OR(AND(OR(AC133=1,AC133=0),AA133&gt;0,AA133&lt;20),AND(OR(AC133=1,AC133=0),AA133&gt;19,AA133&lt;51),AND(AC133&gt;1,AC133&lt;6,AA133&gt;0,AA133&lt;20)),"Simples",IF(OR(AND(OR(AC133=1,AC133=0),AA133&gt;50),AND(AC133&gt;1,AC133&lt;6,AA133&gt;19,AA133&lt;51),AND(AC133&gt;5,AA133&gt;0,AA133&lt;20)),"Médio",IF(OR(AND(AC133&gt;1,AC133&lt;6,AA133&gt;50),AND(AC133&gt;5,AA133&gt;19,AA133&lt;51),AND(AC133&gt;5,AA133&gt;50)),"Complexo",""))),
IF(Z133="AIE",IF(OR(AND(OR(AC133=1, AC133=0),AA133&gt;0,AA133&lt;20),AND(OR(AC133=1, AC133=0),AA133&gt;19,AA133&lt;51),AND(AC133&gt;1,AC133&lt;6,AA133&gt;0,AA133&lt;20)),"Simples",IF(OR(AND(OR(AC133=1, AC133=0),AA133&gt;50),AND(AC133&gt;1,AC133&lt;6,AA133&gt;19,AA133&lt;51),AND(AC133&gt;5,AA133&gt;0,AA133&lt;20)),"Médio",IF(OR(AND(AC133&gt;1,AC133&lt;6,AA133&gt;50),AND(AC133&gt;5,AA133&gt;19,AA133&lt;51),AND(AC133&gt;5,AA133&gt;50)),"Complexo",""))),""))</f>
        <v/>
      </c>
      <c r="AG133" s="175" t="str">
        <f t="shared" ref="AG133:AG143" si="233">IF(AE133="",AF133,IF(AF133="",AE133,""))</f>
        <v/>
      </c>
      <c r="AH133" s="176">
        <f t="shared" ref="AH133:AH143" si="234">IF(AND(OR(Z133="EE",Z133="CE"),AG133="Simples"),3,
IF(AND(OR(Z133="EE",Z133="CE"),AG133="Médio"),4,
IF(AND(OR(Z133="EE",Z133="CE"),AG133="Complexo"),6,
IF(AND(Z133="SE",AG133="Simples"),4,
IF(AND(Z133="SE",AG133="Médio"),5,
IF(AND(Z133="SE",AG133="Complexo"),7,0))))))</f>
        <v>0</v>
      </c>
      <c r="AI133" s="176">
        <f t="shared" ref="AI133:AI143" si="235">IF(AND(Z133="ALI",AF133="Simples"),7,
IF(AND(Z133="ALI",AF133="Médio"),10,
IF(AND(Z133="ALI",AF133="Complexo"),15,
IF(AND(Z133="AIE",AF133="Simples"),5,
IF(AND(Z133="AIE",AF133="Médio"),7,
IF(AND(Z133="AIE",AF133="Complexo"),10,0))))))</f>
        <v>0</v>
      </c>
      <c r="AJ133" s="185">
        <f t="shared" ref="AJ133:AJ143" si="236">IF(W133="OK",S133,(
IF(X133&lt;&gt;"Manutenção em interface",IF(X133&lt;&gt;"Desenv., Manutenção e Publicação de Páginas Estáticas",(AH133+AI133)*Y133,Y133),Y133)))</f>
        <v>0</v>
      </c>
      <c r="AK133" s="44"/>
      <c r="AM133" s="44"/>
      <c r="AO133" s="44"/>
      <c r="AP133" s="44" t="str">
        <f t="shared" ref="AP133:AP143" si="237">IF(AJ133=0,"",IF(AJ133=S133,"OK","Divergente"))</f>
        <v/>
      </c>
    </row>
    <row r="134" spans="2:42" s="46" customFormat="1" ht="18.75" customHeight="1">
      <c r="B134" s="226"/>
      <c r="C134" s="227">
        <f>IF(B134&lt;&gt;"",VLOOKUP(B134,'Tipo Projeto'!$A$3:$B$44,2,0),0)</f>
        <v>0</v>
      </c>
      <c r="D134" s="228" t="s">
        <v>479</v>
      </c>
      <c r="E134" s="236" t="s">
        <v>484</v>
      </c>
      <c r="F134" s="233" t="s">
        <v>486</v>
      </c>
      <c r="G134" s="228" t="s">
        <v>80</v>
      </c>
      <c r="H134" s="229"/>
      <c r="I134" s="230">
        <v>21</v>
      </c>
      <c r="J134" s="225" t="s">
        <v>487</v>
      </c>
      <c r="K134" s="231">
        <v>5</v>
      </c>
      <c r="L134" s="237" t="s">
        <v>488</v>
      </c>
      <c r="M134" s="232" t="str">
        <f t="shared" si="224"/>
        <v>Complexo</v>
      </c>
      <c r="N134" s="233" t="str">
        <f t="shared" si="225"/>
        <v/>
      </c>
      <c r="O134" s="234" t="str">
        <f t="shared" si="226"/>
        <v>Complexo</v>
      </c>
      <c r="P134" s="235">
        <f t="shared" si="227"/>
        <v>7</v>
      </c>
      <c r="Q134" s="235">
        <f t="shared" si="228"/>
        <v>0</v>
      </c>
      <c r="R134" s="234">
        <f t="shared" si="229"/>
        <v>7</v>
      </c>
      <c r="S134" s="234">
        <f t="shared" si="230"/>
        <v>0</v>
      </c>
      <c r="T134" s="236">
        <v>42</v>
      </c>
      <c r="U134" s="236"/>
      <c r="W134" s="184"/>
      <c r="X134" s="56"/>
      <c r="Y134" s="155">
        <f>IF(X134&lt;&gt;"",VLOOKUP(X134,'Tipo Projeto'!$A$3:$B$44,2,0),0)</f>
        <v>0</v>
      </c>
      <c r="Z134" s="44"/>
      <c r="AA134" s="57"/>
      <c r="AB134" s="170"/>
      <c r="AC134" s="174"/>
      <c r="AD134" s="165"/>
      <c r="AE134" s="171" t="str">
        <f t="shared" si="231"/>
        <v/>
      </c>
      <c r="AF134" s="45" t="str">
        <f t="shared" si="232"/>
        <v/>
      </c>
      <c r="AG134" s="175" t="str">
        <f t="shared" si="233"/>
        <v/>
      </c>
      <c r="AH134" s="176">
        <f t="shared" si="234"/>
        <v>0</v>
      </c>
      <c r="AI134" s="176">
        <f t="shared" si="235"/>
        <v>0</v>
      </c>
      <c r="AJ134" s="185">
        <f t="shared" si="236"/>
        <v>0</v>
      </c>
      <c r="AK134" s="44"/>
      <c r="AM134" s="44"/>
      <c r="AO134" s="44"/>
      <c r="AP134" s="44" t="str">
        <f t="shared" si="237"/>
        <v/>
      </c>
    </row>
    <row r="135" spans="2:42" s="46" customFormat="1" ht="18.75" customHeight="1">
      <c r="B135" s="226"/>
      <c r="C135" s="227">
        <f>IF(B135&lt;&gt;"",VLOOKUP(B135,'Tipo Projeto'!$A$3:$B$44,2,0),0)</f>
        <v>0</v>
      </c>
      <c r="D135" s="228" t="s">
        <v>479</v>
      </c>
      <c r="E135" s="236" t="s">
        <v>484</v>
      </c>
      <c r="F135" s="233" t="s">
        <v>489</v>
      </c>
      <c r="G135" s="228" t="s">
        <v>78</v>
      </c>
      <c r="H135" s="229"/>
      <c r="I135" s="230">
        <v>4</v>
      </c>
      <c r="J135" s="225" t="s">
        <v>490</v>
      </c>
      <c r="K135" s="231">
        <v>1</v>
      </c>
      <c r="L135" s="237" t="s">
        <v>531</v>
      </c>
      <c r="M135" s="232" t="str">
        <f t="shared" si="224"/>
        <v>Simples</v>
      </c>
      <c r="N135" s="233" t="str">
        <f t="shared" si="225"/>
        <v/>
      </c>
      <c r="O135" s="234" t="str">
        <f t="shared" si="226"/>
        <v>Simples</v>
      </c>
      <c r="P135" s="235">
        <f t="shared" si="227"/>
        <v>3</v>
      </c>
      <c r="Q135" s="235">
        <f t="shared" si="228"/>
        <v>0</v>
      </c>
      <c r="R135" s="234">
        <f t="shared" si="229"/>
        <v>3</v>
      </c>
      <c r="S135" s="234">
        <f t="shared" si="230"/>
        <v>0</v>
      </c>
      <c r="T135" s="236">
        <v>42</v>
      </c>
      <c r="U135" s="236"/>
      <c r="W135" s="184"/>
      <c r="X135" s="56"/>
      <c r="Y135" s="155">
        <f>IF(X135&lt;&gt;"",VLOOKUP(X135,'Tipo Projeto'!$A$3:$B$44,2,0),0)</f>
        <v>0</v>
      </c>
      <c r="Z135" s="44"/>
      <c r="AA135" s="57"/>
      <c r="AB135" s="170"/>
      <c r="AC135" s="174"/>
      <c r="AD135" s="165"/>
      <c r="AE135" s="171" t="str">
        <f t="shared" si="231"/>
        <v/>
      </c>
      <c r="AF135" s="45" t="str">
        <f t="shared" si="232"/>
        <v/>
      </c>
      <c r="AG135" s="175" t="str">
        <f t="shared" si="233"/>
        <v/>
      </c>
      <c r="AH135" s="176">
        <f t="shared" si="234"/>
        <v>0</v>
      </c>
      <c r="AI135" s="176">
        <f t="shared" si="235"/>
        <v>0</v>
      </c>
      <c r="AJ135" s="185">
        <f t="shared" si="236"/>
        <v>0</v>
      </c>
      <c r="AK135" s="44"/>
      <c r="AM135" s="44"/>
      <c r="AO135" s="44"/>
      <c r="AP135" s="44" t="str">
        <f t="shared" si="237"/>
        <v/>
      </c>
    </row>
    <row r="136" spans="2:42" s="46" customFormat="1" ht="18.75" customHeight="1">
      <c r="B136" s="226"/>
      <c r="C136" s="227">
        <f>IF(B136&lt;&gt;"",VLOOKUP(B136,'Tipo Projeto'!$A$3:$B$44,2,0),0)</f>
        <v>0</v>
      </c>
      <c r="D136" s="228" t="s">
        <v>479</v>
      </c>
      <c r="E136" s="236" t="s">
        <v>484</v>
      </c>
      <c r="F136" s="233" t="s">
        <v>491</v>
      </c>
      <c r="G136" s="228" t="s">
        <v>78</v>
      </c>
      <c r="H136" s="229"/>
      <c r="I136" s="230">
        <v>7</v>
      </c>
      <c r="J136" s="225" t="s">
        <v>492</v>
      </c>
      <c r="K136" s="231">
        <v>2</v>
      </c>
      <c r="L136" s="237" t="s">
        <v>533</v>
      </c>
      <c r="M136" s="232" t="str">
        <f t="shared" si="224"/>
        <v>Médio</v>
      </c>
      <c r="N136" s="233" t="str">
        <f t="shared" si="225"/>
        <v/>
      </c>
      <c r="O136" s="234" t="str">
        <f t="shared" si="226"/>
        <v>Médio</v>
      </c>
      <c r="P136" s="235">
        <f t="shared" si="227"/>
        <v>4</v>
      </c>
      <c r="Q136" s="235">
        <f t="shared" si="228"/>
        <v>0</v>
      </c>
      <c r="R136" s="234">
        <f t="shared" si="229"/>
        <v>4</v>
      </c>
      <c r="S136" s="234">
        <f t="shared" si="230"/>
        <v>0</v>
      </c>
      <c r="T136" s="236">
        <v>42</v>
      </c>
      <c r="U136" s="236"/>
      <c r="W136" s="184"/>
      <c r="X136" s="56"/>
      <c r="Y136" s="155">
        <f>IF(X136&lt;&gt;"",VLOOKUP(X136,'Tipo Projeto'!$A$3:$B$44,2,0),0)</f>
        <v>0</v>
      </c>
      <c r="Z136" s="44"/>
      <c r="AA136" s="57"/>
      <c r="AB136" s="170"/>
      <c r="AC136" s="174"/>
      <c r="AD136" s="165"/>
      <c r="AE136" s="171" t="str">
        <f t="shared" si="231"/>
        <v/>
      </c>
      <c r="AF136" s="45" t="str">
        <f t="shared" si="232"/>
        <v/>
      </c>
      <c r="AG136" s="175" t="str">
        <f t="shared" si="233"/>
        <v/>
      </c>
      <c r="AH136" s="176">
        <f t="shared" si="234"/>
        <v>0</v>
      </c>
      <c r="AI136" s="176">
        <f t="shared" si="235"/>
        <v>0</v>
      </c>
      <c r="AJ136" s="185">
        <f t="shared" si="236"/>
        <v>0</v>
      </c>
      <c r="AK136" s="44"/>
      <c r="AM136" s="44"/>
      <c r="AO136" s="44"/>
      <c r="AP136" s="44" t="str">
        <f t="shared" si="237"/>
        <v/>
      </c>
    </row>
    <row r="137" spans="2:42" s="46" customFormat="1" ht="18.75" customHeight="1">
      <c r="B137" s="226"/>
      <c r="C137" s="227">
        <f>IF(B137&lt;&gt;"",VLOOKUP(B137,'Tipo Projeto'!$A$3:$B$44,2,0),0)</f>
        <v>0</v>
      </c>
      <c r="D137" s="228" t="s">
        <v>479</v>
      </c>
      <c r="E137" s="236" t="s">
        <v>484</v>
      </c>
      <c r="F137" s="233" t="s">
        <v>480</v>
      </c>
      <c r="G137" s="228" t="s">
        <v>80</v>
      </c>
      <c r="H137" s="229"/>
      <c r="I137" s="230">
        <v>18</v>
      </c>
      <c r="J137" s="225" t="s">
        <v>493</v>
      </c>
      <c r="K137" s="231">
        <v>6</v>
      </c>
      <c r="L137" s="237" t="s">
        <v>534</v>
      </c>
      <c r="M137" s="232" t="str">
        <f t="shared" si="224"/>
        <v>Complexo</v>
      </c>
      <c r="N137" s="233" t="str">
        <f t="shared" si="225"/>
        <v/>
      </c>
      <c r="O137" s="234" t="str">
        <f t="shared" si="226"/>
        <v>Complexo</v>
      </c>
      <c r="P137" s="235">
        <f t="shared" si="227"/>
        <v>7</v>
      </c>
      <c r="Q137" s="235">
        <f t="shared" si="228"/>
        <v>0</v>
      </c>
      <c r="R137" s="234">
        <f t="shared" si="229"/>
        <v>7</v>
      </c>
      <c r="S137" s="234">
        <f t="shared" si="230"/>
        <v>0</v>
      </c>
      <c r="T137" s="236">
        <v>42</v>
      </c>
      <c r="U137" s="236" t="s">
        <v>481</v>
      </c>
      <c r="W137" s="184"/>
      <c r="X137" s="56"/>
      <c r="Y137" s="155">
        <f>IF(X137&lt;&gt;"",VLOOKUP(X137,'Tipo Projeto'!$A$3:$B$44,2,0),0)</f>
        <v>0</v>
      </c>
      <c r="Z137" s="44"/>
      <c r="AA137" s="57"/>
      <c r="AB137" s="170"/>
      <c r="AC137" s="174"/>
      <c r="AD137" s="165"/>
      <c r="AE137" s="171" t="str">
        <f t="shared" si="231"/>
        <v/>
      </c>
      <c r="AF137" s="45" t="str">
        <f t="shared" si="232"/>
        <v/>
      </c>
      <c r="AG137" s="175" t="str">
        <f t="shared" si="233"/>
        <v/>
      </c>
      <c r="AH137" s="176">
        <f t="shared" si="234"/>
        <v>0</v>
      </c>
      <c r="AI137" s="176">
        <f t="shared" si="235"/>
        <v>0</v>
      </c>
      <c r="AJ137" s="185">
        <f t="shared" si="236"/>
        <v>0</v>
      </c>
      <c r="AK137" s="44"/>
      <c r="AM137" s="44"/>
      <c r="AO137" s="44"/>
      <c r="AP137" s="44" t="str">
        <f t="shared" si="237"/>
        <v/>
      </c>
    </row>
    <row r="138" spans="2:42" s="46" customFormat="1" ht="18.75" customHeight="1">
      <c r="B138" s="226"/>
      <c r="C138" s="227">
        <f>IF(B138&lt;&gt;"",VLOOKUP(B138,'Tipo Projeto'!$A$3:$B$44,2,0),0)</f>
        <v>0</v>
      </c>
      <c r="D138" s="228" t="s">
        <v>479</v>
      </c>
      <c r="E138" s="236" t="s">
        <v>484</v>
      </c>
      <c r="F138" s="233" t="s">
        <v>483</v>
      </c>
      <c r="G138" s="228" t="s">
        <v>79</v>
      </c>
      <c r="H138" s="229"/>
      <c r="I138" s="230">
        <v>4</v>
      </c>
      <c r="J138" s="225" t="s">
        <v>494</v>
      </c>
      <c r="K138" s="231">
        <v>4</v>
      </c>
      <c r="L138" s="237" t="s">
        <v>452</v>
      </c>
      <c r="M138" s="232" t="str">
        <f t="shared" si="224"/>
        <v>Médio</v>
      </c>
      <c r="N138" s="233" t="str">
        <f t="shared" si="225"/>
        <v/>
      </c>
      <c r="O138" s="234" t="str">
        <f t="shared" si="226"/>
        <v>Médio</v>
      </c>
      <c r="P138" s="235">
        <f t="shared" si="227"/>
        <v>4</v>
      </c>
      <c r="Q138" s="235">
        <f t="shared" si="228"/>
        <v>0</v>
      </c>
      <c r="R138" s="234">
        <f t="shared" si="229"/>
        <v>4</v>
      </c>
      <c r="S138" s="234">
        <f t="shared" si="230"/>
        <v>0</v>
      </c>
      <c r="T138" s="236">
        <v>42</v>
      </c>
      <c r="U138" s="236"/>
      <c r="W138" s="184"/>
      <c r="X138" s="56"/>
      <c r="Y138" s="155">
        <f>IF(X138&lt;&gt;"",VLOOKUP(X138,'Tipo Projeto'!$A$3:$B$44,2,0),0)</f>
        <v>0</v>
      </c>
      <c r="Z138" s="44"/>
      <c r="AA138" s="57"/>
      <c r="AB138" s="170"/>
      <c r="AC138" s="174"/>
      <c r="AD138" s="165"/>
      <c r="AE138" s="171" t="str">
        <f t="shared" si="231"/>
        <v/>
      </c>
      <c r="AF138" s="45" t="str">
        <f t="shared" si="232"/>
        <v/>
      </c>
      <c r="AG138" s="175" t="str">
        <f t="shared" si="233"/>
        <v/>
      </c>
      <c r="AH138" s="176">
        <f t="shared" si="234"/>
        <v>0</v>
      </c>
      <c r="AI138" s="176">
        <f t="shared" si="235"/>
        <v>0</v>
      </c>
      <c r="AJ138" s="185">
        <f t="shared" si="236"/>
        <v>0</v>
      </c>
      <c r="AK138" s="44"/>
      <c r="AM138" s="44"/>
      <c r="AO138" s="44"/>
      <c r="AP138" s="44" t="str">
        <f t="shared" si="237"/>
        <v/>
      </c>
    </row>
    <row r="139" spans="2:42" s="46" customFormat="1" ht="18.75" customHeight="1">
      <c r="B139" s="226"/>
      <c r="C139" s="227">
        <f>IF(B139&lt;&gt;"",VLOOKUP(B139,'Tipo Projeto'!$A$3:$B$44,2,0),0)</f>
        <v>0</v>
      </c>
      <c r="D139" s="228" t="s">
        <v>479</v>
      </c>
      <c r="E139" s="236" t="s">
        <v>484</v>
      </c>
      <c r="F139" s="233" t="s">
        <v>496</v>
      </c>
      <c r="G139" s="228" t="s">
        <v>80</v>
      </c>
      <c r="H139" s="229"/>
      <c r="I139" s="230">
        <v>10</v>
      </c>
      <c r="J139" s="225" t="s">
        <v>495</v>
      </c>
      <c r="K139" s="231">
        <v>4</v>
      </c>
      <c r="L139" s="237" t="s">
        <v>452</v>
      </c>
      <c r="M139" s="232" t="str">
        <f t="shared" si="224"/>
        <v>Complexo</v>
      </c>
      <c r="N139" s="233" t="str">
        <f t="shared" si="225"/>
        <v/>
      </c>
      <c r="O139" s="234" t="str">
        <f t="shared" si="226"/>
        <v>Complexo</v>
      </c>
      <c r="P139" s="235">
        <f t="shared" si="227"/>
        <v>7</v>
      </c>
      <c r="Q139" s="235">
        <f t="shared" si="228"/>
        <v>0</v>
      </c>
      <c r="R139" s="234">
        <f t="shared" si="229"/>
        <v>7</v>
      </c>
      <c r="S139" s="234">
        <f t="shared" si="230"/>
        <v>0</v>
      </c>
      <c r="T139" s="236">
        <v>42</v>
      </c>
      <c r="U139" s="236" t="s">
        <v>481</v>
      </c>
      <c r="W139" s="184"/>
      <c r="X139" s="56"/>
      <c r="Y139" s="155">
        <f>IF(X139&lt;&gt;"",VLOOKUP(X139,'Tipo Projeto'!$A$3:$B$44,2,0),0)</f>
        <v>0</v>
      </c>
      <c r="Z139" s="44"/>
      <c r="AA139" s="57"/>
      <c r="AB139" s="170"/>
      <c r="AC139" s="174"/>
      <c r="AD139" s="165"/>
      <c r="AE139" s="171" t="str">
        <f t="shared" si="231"/>
        <v/>
      </c>
      <c r="AF139" s="45" t="str">
        <f t="shared" si="232"/>
        <v/>
      </c>
      <c r="AG139" s="175" t="str">
        <f t="shared" si="233"/>
        <v/>
      </c>
      <c r="AH139" s="176">
        <f t="shared" si="234"/>
        <v>0</v>
      </c>
      <c r="AI139" s="176">
        <f t="shared" si="235"/>
        <v>0</v>
      </c>
      <c r="AJ139" s="185">
        <f t="shared" si="236"/>
        <v>0</v>
      </c>
      <c r="AK139" s="44"/>
      <c r="AM139" s="44"/>
      <c r="AO139" s="44"/>
      <c r="AP139" s="44" t="str">
        <f t="shared" si="237"/>
        <v/>
      </c>
    </row>
    <row r="140" spans="2:42" s="46" customFormat="1" ht="18.75" customHeight="1">
      <c r="B140" s="226"/>
      <c r="C140" s="227">
        <f>IF(B140&lt;&gt;"",VLOOKUP(B140,'Tipo Projeto'!$A$3:$B$44,2,0),0)</f>
        <v>0</v>
      </c>
      <c r="D140" s="228" t="s">
        <v>479</v>
      </c>
      <c r="E140" s="236" t="s">
        <v>484</v>
      </c>
      <c r="F140" s="233" t="s">
        <v>497</v>
      </c>
      <c r="G140" s="228" t="s">
        <v>78</v>
      </c>
      <c r="H140" s="229"/>
      <c r="I140" s="230">
        <v>3</v>
      </c>
      <c r="J140" s="225" t="s">
        <v>498</v>
      </c>
      <c r="K140" s="231">
        <v>2</v>
      </c>
      <c r="L140" s="237" t="s">
        <v>535</v>
      </c>
      <c r="M140" s="232" t="str">
        <f t="shared" si="224"/>
        <v>Simples</v>
      </c>
      <c r="N140" s="233" t="str">
        <f t="shared" si="225"/>
        <v/>
      </c>
      <c r="O140" s="234" t="str">
        <f t="shared" si="226"/>
        <v>Simples</v>
      </c>
      <c r="P140" s="235">
        <f t="shared" si="227"/>
        <v>3</v>
      </c>
      <c r="Q140" s="235">
        <f t="shared" si="228"/>
        <v>0</v>
      </c>
      <c r="R140" s="234">
        <f t="shared" si="229"/>
        <v>3</v>
      </c>
      <c r="S140" s="234">
        <f t="shared" si="230"/>
        <v>0</v>
      </c>
      <c r="T140" s="236">
        <v>42</v>
      </c>
      <c r="U140" s="236"/>
      <c r="W140" s="184"/>
      <c r="X140" s="56"/>
      <c r="Y140" s="155">
        <f>IF(X140&lt;&gt;"",VLOOKUP(X140,'Tipo Projeto'!$A$3:$B$44,2,0),0)</f>
        <v>0</v>
      </c>
      <c r="Z140" s="44"/>
      <c r="AA140" s="57"/>
      <c r="AB140" s="170"/>
      <c r="AC140" s="174"/>
      <c r="AD140" s="165"/>
      <c r="AE140" s="171" t="str">
        <f t="shared" si="231"/>
        <v/>
      </c>
      <c r="AF140" s="45" t="str">
        <f t="shared" si="232"/>
        <v/>
      </c>
      <c r="AG140" s="175" t="str">
        <f t="shared" si="233"/>
        <v/>
      </c>
      <c r="AH140" s="176">
        <f t="shared" si="234"/>
        <v>0</v>
      </c>
      <c r="AI140" s="176">
        <f t="shared" si="235"/>
        <v>0</v>
      </c>
      <c r="AJ140" s="185">
        <f t="shared" si="236"/>
        <v>0</v>
      </c>
      <c r="AK140" s="44"/>
      <c r="AM140" s="44"/>
      <c r="AO140" s="44"/>
      <c r="AP140" s="44" t="str">
        <f t="shared" si="237"/>
        <v/>
      </c>
    </row>
    <row r="141" spans="2:42" s="46" customFormat="1" ht="18.75" customHeight="1">
      <c r="B141" s="226"/>
      <c r="C141" s="227">
        <f>IF(B141&lt;&gt;"",VLOOKUP(B141,'Tipo Projeto'!$A$3:$B$44,2,0),0)</f>
        <v>0</v>
      </c>
      <c r="D141" s="228"/>
      <c r="E141" s="236"/>
      <c r="F141" s="233"/>
      <c r="G141" s="228"/>
      <c r="H141" s="229"/>
      <c r="I141" s="230"/>
      <c r="J141" s="225"/>
      <c r="K141" s="231"/>
      <c r="L141" s="237"/>
      <c r="M141" s="232" t="str">
        <f t="shared" si="224"/>
        <v/>
      </c>
      <c r="N141" s="233" t="str">
        <f t="shared" si="225"/>
        <v/>
      </c>
      <c r="O141" s="234" t="str">
        <f t="shared" si="226"/>
        <v/>
      </c>
      <c r="P141" s="235">
        <f t="shared" si="227"/>
        <v>0</v>
      </c>
      <c r="Q141" s="235">
        <f t="shared" si="228"/>
        <v>0</v>
      </c>
      <c r="R141" s="234">
        <f t="shared" si="229"/>
        <v>0</v>
      </c>
      <c r="S141" s="234">
        <f t="shared" si="230"/>
        <v>0</v>
      </c>
      <c r="T141" s="236"/>
      <c r="U141" s="236"/>
      <c r="W141" s="184"/>
      <c r="X141" s="56"/>
      <c r="Y141" s="155">
        <f>IF(X141&lt;&gt;"",VLOOKUP(X141,'Tipo Projeto'!$A$3:$B$44,2,0),0)</f>
        <v>0</v>
      </c>
      <c r="Z141" s="44"/>
      <c r="AA141" s="57"/>
      <c r="AB141" s="170"/>
      <c r="AC141" s="174"/>
      <c r="AD141" s="165"/>
      <c r="AE141" s="171" t="str">
        <f t="shared" si="231"/>
        <v/>
      </c>
      <c r="AF141" s="45" t="str">
        <f t="shared" si="232"/>
        <v/>
      </c>
      <c r="AG141" s="175" t="str">
        <f t="shared" si="233"/>
        <v/>
      </c>
      <c r="AH141" s="176">
        <f t="shared" si="234"/>
        <v>0</v>
      </c>
      <c r="AI141" s="176">
        <f t="shared" si="235"/>
        <v>0</v>
      </c>
      <c r="AJ141" s="185">
        <f t="shared" si="236"/>
        <v>0</v>
      </c>
      <c r="AK141" s="44"/>
      <c r="AM141" s="44"/>
      <c r="AO141" s="44"/>
      <c r="AP141" s="44" t="str">
        <f t="shared" si="237"/>
        <v/>
      </c>
    </row>
    <row r="142" spans="2:42" s="46" customFormat="1" ht="18.75" customHeight="1">
      <c r="B142" s="226"/>
      <c r="C142" s="227">
        <f>IF(B142&lt;&gt;"",VLOOKUP(B142,'Tipo Projeto'!$A$3:$B$44,2,0),0)</f>
        <v>0</v>
      </c>
      <c r="D142" s="228" t="s">
        <v>479</v>
      </c>
      <c r="E142" s="236" t="s">
        <v>499</v>
      </c>
      <c r="F142" s="233" t="s">
        <v>500</v>
      </c>
      <c r="G142" s="228" t="s">
        <v>80</v>
      </c>
      <c r="H142" s="229"/>
      <c r="I142" s="230">
        <v>20</v>
      </c>
      <c r="J142" s="225" t="s">
        <v>501</v>
      </c>
      <c r="K142" s="231">
        <v>5</v>
      </c>
      <c r="L142" s="237" t="s">
        <v>536</v>
      </c>
      <c r="M142" s="232" t="str">
        <f t="shared" si="224"/>
        <v>Complexo</v>
      </c>
      <c r="N142" s="233" t="str">
        <f t="shared" si="225"/>
        <v/>
      </c>
      <c r="O142" s="234" t="str">
        <f t="shared" si="226"/>
        <v>Complexo</v>
      </c>
      <c r="P142" s="235">
        <f t="shared" si="227"/>
        <v>7</v>
      </c>
      <c r="Q142" s="235">
        <f t="shared" si="228"/>
        <v>0</v>
      </c>
      <c r="R142" s="234">
        <f t="shared" si="229"/>
        <v>7</v>
      </c>
      <c r="S142" s="234">
        <f t="shared" si="230"/>
        <v>0</v>
      </c>
      <c r="T142" s="236">
        <v>43</v>
      </c>
      <c r="U142" s="236"/>
      <c r="W142" s="184"/>
      <c r="X142" s="56"/>
      <c r="Y142" s="155">
        <f>IF(X142&lt;&gt;"",VLOOKUP(X142,'Tipo Projeto'!$A$3:$B$44,2,0),0)</f>
        <v>0</v>
      </c>
      <c r="Z142" s="44"/>
      <c r="AA142" s="57"/>
      <c r="AB142" s="170"/>
      <c r="AC142" s="174"/>
      <c r="AD142" s="165"/>
      <c r="AE142" s="171" t="str">
        <f t="shared" si="231"/>
        <v/>
      </c>
      <c r="AF142" s="45" t="str">
        <f t="shared" si="232"/>
        <v/>
      </c>
      <c r="AG142" s="175" t="str">
        <f t="shared" si="233"/>
        <v/>
      </c>
      <c r="AH142" s="176">
        <f t="shared" si="234"/>
        <v>0</v>
      </c>
      <c r="AI142" s="176">
        <f t="shared" si="235"/>
        <v>0</v>
      </c>
      <c r="AJ142" s="185">
        <f t="shared" si="236"/>
        <v>0</v>
      </c>
      <c r="AK142" s="44"/>
      <c r="AM142" s="44"/>
      <c r="AO142" s="44"/>
      <c r="AP142" s="44" t="str">
        <f t="shared" si="237"/>
        <v/>
      </c>
    </row>
    <row r="143" spans="2:42" s="46" customFormat="1" ht="18.75" customHeight="1">
      <c r="B143" s="226"/>
      <c r="C143" s="227">
        <f>IF(B143&lt;&gt;"",VLOOKUP(B143,'Tipo Projeto'!$A$3:$B$44,2,0),0)</f>
        <v>0</v>
      </c>
      <c r="D143" s="228" t="s">
        <v>479</v>
      </c>
      <c r="E143" s="236" t="s">
        <v>499</v>
      </c>
      <c r="F143" s="233" t="s">
        <v>502</v>
      </c>
      <c r="G143" s="228" t="s">
        <v>79</v>
      </c>
      <c r="H143" s="229"/>
      <c r="I143" s="230">
        <v>5</v>
      </c>
      <c r="J143" s="225" t="s">
        <v>503</v>
      </c>
      <c r="K143" s="231">
        <v>2</v>
      </c>
      <c r="L143" s="237" t="s">
        <v>537</v>
      </c>
      <c r="M143" s="232" t="str">
        <f t="shared" si="224"/>
        <v>Simples</v>
      </c>
      <c r="N143" s="233" t="str">
        <f t="shared" si="225"/>
        <v/>
      </c>
      <c r="O143" s="234" t="str">
        <f t="shared" si="226"/>
        <v>Simples</v>
      </c>
      <c r="P143" s="235">
        <f t="shared" si="227"/>
        <v>3</v>
      </c>
      <c r="Q143" s="235">
        <f t="shared" si="228"/>
        <v>0</v>
      </c>
      <c r="R143" s="234">
        <f t="shared" si="229"/>
        <v>3</v>
      </c>
      <c r="S143" s="234">
        <f t="shared" si="230"/>
        <v>0</v>
      </c>
      <c r="T143" s="236">
        <v>43</v>
      </c>
      <c r="U143" s="236"/>
      <c r="W143" s="184"/>
      <c r="X143" s="56"/>
      <c r="Y143" s="155">
        <f>IF(X143&lt;&gt;"",VLOOKUP(X143,'Tipo Projeto'!$A$3:$B$44,2,0),0)</f>
        <v>0</v>
      </c>
      <c r="Z143" s="44"/>
      <c r="AA143" s="57"/>
      <c r="AB143" s="170"/>
      <c r="AC143" s="174"/>
      <c r="AD143" s="165"/>
      <c r="AE143" s="171" t="str">
        <f t="shared" si="231"/>
        <v/>
      </c>
      <c r="AF143" s="45" t="str">
        <f t="shared" si="232"/>
        <v/>
      </c>
      <c r="AG143" s="175" t="str">
        <f t="shared" si="233"/>
        <v/>
      </c>
      <c r="AH143" s="176">
        <f t="shared" si="234"/>
        <v>0</v>
      </c>
      <c r="AI143" s="176">
        <f t="shared" si="235"/>
        <v>0</v>
      </c>
      <c r="AJ143" s="185">
        <f t="shared" si="236"/>
        <v>0</v>
      </c>
      <c r="AK143" s="44"/>
      <c r="AM143" s="44"/>
      <c r="AO143" s="44"/>
      <c r="AP143" s="44" t="str">
        <f t="shared" si="237"/>
        <v/>
      </c>
    </row>
    <row r="144" spans="2:42" s="46" customFormat="1" ht="18.75" customHeight="1">
      <c r="B144" s="226"/>
      <c r="C144" s="227">
        <f>IF(B144&lt;&gt;"",VLOOKUP(B144,'Tipo Projeto'!$A$3:$B$44,2,0),0)</f>
        <v>0</v>
      </c>
      <c r="D144" s="228" t="s">
        <v>479</v>
      </c>
      <c r="E144" s="236" t="s">
        <v>499</v>
      </c>
      <c r="F144" s="233" t="s">
        <v>505</v>
      </c>
      <c r="G144" s="228" t="s">
        <v>80</v>
      </c>
      <c r="H144" s="229"/>
      <c r="I144" s="230">
        <v>5</v>
      </c>
      <c r="J144" s="225" t="s">
        <v>504</v>
      </c>
      <c r="K144" s="231">
        <v>3</v>
      </c>
      <c r="L144" s="237" t="s">
        <v>538</v>
      </c>
      <c r="M144" s="232" t="str">
        <f t="shared" si="210"/>
        <v>Simples</v>
      </c>
      <c r="N144" s="233" t="str">
        <f t="shared" si="211"/>
        <v/>
      </c>
      <c r="O144" s="234" t="str">
        <f t="shared" si="212"/>
        <v>Simples</v>
      </c>
      <c r="P144" s="235">
        <f t="shared" si="213"/>
        <v>4</v>
      </c>
      <c r="Q144" s="235">
        <f t="shared" si="214"/>
        <v>0</v>
      </c>
      <c r="R144" s="234">
        <f t="shared" si="215"/>
        <v>4</v>
      </c>
      <c r="S144" s="234">
        <f t="shared" si="216"/>
        <v>0</v>
      </c>
      <c r="T144" s="236">
        <v>43</v>
      </c>
      <c r="U144" s="236"/>
      <c r="W144" s="184"/>
      <c r="X144" s="56"/>
      <c r="Y144" s="155">
        <f>IF(X144&lt;&gt;"",VLOOKUP(X144,'Tipo Projeto'!$A$3:$B$44,2,0),0)</f>
        <v>0</v>
      </c>
      <c r="Z144" s="44"/>
      <c r="AA144" s="57"/>
      <c r="AB144" s="170"/>
      <c r="AC144" s="174"/>
      <c r="AD144" s="165"/>
      <c r="AE144" s="171" t="str">
        <f t="shared" si="217"/>
        <v/>
      </c>
      <c r="AF144" s="45" t="str">
        <f t="shared" si="218"/>
        <v/>
      </c>
      <c r="AG144" s="175" t="str">
        <f t="shared" si="219"/>
        <v/>
      </c>
      <c r="AH144" s="176">
        <f t="shared" si="220"/>
        <v>0</v>
      </c>
      <c r="AI144" s="176">
        <f t="shared" si="221"/>
        <v>0</v>
      </c>
      <c r="AJ144" s="185">
        <f t="shared" si="222"/>
        <v>0</v>
      </c>
      <c r="AK144" s="44"/>
      <c r="AM144" s="44"/>
      <c r="AO144" s="44"/>
      <c r="AP144" s="44" t="str">
        <f t="shared" si="223"/>
        <v/>
      </c>
    </row>
    <row r="145" spans="2:42" s="46" customFormat="1" ht="18.75" customHeight="1">
      <c r="B145" s="226"/>
      <c r="C145" s="227">
        <f>IF(B145&lt;&gt;"",VLOOKUP(B145,'Tipo Projeto'!$A$3:$B$44,2,0),0)</f>
        <v>0</v>
      </c>
      <c r="D145" s="228" t="s">
        <v>479</v>
      </c>
      <c r="E145" s="236" t="s">
        <v>499</v>
      </c>
      <c r="F145" s="233" t="s">
        <v>506</v>
      </c>
      <c r="G145" s="228" t="s">
        <v>80</v>
      </c>
      <c r="H145" s="229"/>
      <c r="I145" s="230">
        <v>20</v>
      </c>
      <c r="J145" s="225" t="s">
        <v>507</v>
      </c>
      <c r="K145" s="231">
        <v>6</v>
      </c>
      <c r="L145" s="237" t="s">
        <v>539</v>
      </c>
      <c r="M145" s="232" t="str">
        <f t="shared" si="210"/>
        <v>Complexo</v>
      </c>
      <c r="N145" s="233" t="str">
        <f t="shared" si="211"/>
        <v/>
      </c>
      <c r="O145" s="234" t="str">
        <f t="shared" si="212"/>
        <v>Complexo</v>
      </c>
      <c r="P145" s="235">
        <f t="shared" si="213"/>
        <v>7</v>
      </c>
      <c r="Q145" s="235">
        <f t="shared" si="214"/>
        <v>0</v>
      </c>
      <c r="R145" s="234">
        <f t="shared" si="215"/>
        <v>7</v>
      </c>
      <c r="S145" s="234">
        <f t="shared" si="216"/>
        <v>0</v>
      </c>
      <c r="T145" s="236">
        <v>43</v>
      </c>
      <c r="U145" s="236"/>
      <c r="W145" s="184"/>
      <c r="X145" s="56"/>
      <c r="Y145" s="155">
        <f>IF(X145&lt;&gt;"",VLOOKUP(X145,'Tipo Projeto'!$A$3:$B$44,2,0),0)</f>
        <v>0</v>
      </c>
      <c r="Z145" s="44"/>
      <c r="AA145" s="57"/>
      <c r="AB145" s="170"/>
      <c r="AC145" s="174"/>
      <c r="AD145" s="165"/>
      <c r="AE145" s="171" t="str">
        <f t="shared" si="217"/>
        <v/>
      </c>
      <c r="AF145" s="45" t="str">
        <f t="shared" si="218"/>
        <v/>
      </c>
      <c r="AG145" s="175" t="str">
        <f t="shared" si="219"/>
        <v/>
      </c>
      <c r="AH145" s="176">
        <f t="shared" si="220"/>
        <v>0</v>
      </c>
      <c r="AI145" s="176">
        <f t="shared" si="221"/>
        <v>0</v>
      </c>
      <c r="AJ145" s="185">
        <f t="shared" si="222"/>
        <v>0</v>
      </c>
      <c r="AK145" s="44"/>
      <c r="AM145" s="44"/>
      <c r="AO145" s="44"/>
      <c r="AP145" s="44" t="str">
        <f t="shared" si="223"/>
        <v/>
      </c>
    </row>
    <row r="146" spans="2:42" s="46" customFormat="1" ht="18.75" customHeight="1">
      <c r="B146" s="226"/>
      <c r="C146" s="227">
        <f>IF(B146&lt;&gt;"",VLOOKUP(B146,'Tipo Projeto'!$A$3:$B$44,2,0),0)</f>
        <v>0</v>
      </c>
      <c r="D146" s="228" t="s">
        <v>479</v>
      </c>
      <c r="E146" s="236" t="s">
        <v>499</v>
      </c>
      <c r="F146" s="233" t="s">
        <v>508</v>
      </c>
      <c r="G146" s="228" t="s">
        <v>78</v>
      </c>
      <c r="H146" s="229"/>
      <c r="I146" s="230">
        <v>3</v>
      </c>
      <c r="J146" s="225" t="s">
        <v>509</v>
      </c>
      <c r="K146" s="231">
        <v>1</v>
      </c>
      <c r="L146" s="237" t="s">
        <v>530</v>
      </c>
      <c r="M146" s="232" t="str">
        <f t="shared" si="210"/>
        <v>Simples</v>
      </c>
      <c r="N146" s="233" t="str">
        <f t="shared" si="211"/>
        <v/>
      </c>
      <c r="O146" s="234" t="str">
        <f t="shared" si="212"/>
        <v>Simples</v>
      </c>
      <c r="P146" s="235">
        <f t="shared" si="213"/>
        <v>3</v>
      </c>
      <c r="Q146" s="235">
        <f t="shared" si="214"/>
        <v>0</v>
      </c>
      <c r="R146" s="234">
        <f t="shared" si="215"/>
        <v>3</v>
      </c>
      <c r="S146" s="234">
        <f t="shared" si="216"/>
        <v>0</v>
      </c>
      <c r="T146" s="236">
        <v>43</v>
      </c>
      <c r="U146" s="236"/>
      <c r="W146" s="184"/>
      <c r="X146" s="56"/>
      <c r="Y146" s="155">
        <f>IF(X146&lt;&gt;"",VLOOKUP(X146,'Tipo Projeto'!$A$3:$B$44,2,0),0)</f>
        <v>0</v>
      </c>
      <c r="Z146" s="44"/>
      <c r="AA146" s="57"/>
      <c r="AB146" s="170"/>
      <c r="AC146" s="174"/>
      <c r="AD146" s="165"/>
      <c r="AE146" s="171" t="str">
        <f t="shared" si="217"/>
        <v/>
      </c>
      <c r="AF146" s="45" t="str">
        <f t="shared" si="218"/>
        <v/>
      </c>
      <c r="AG146" s="175" t="str">
        <f t="shared" si="219"/>
        <v/>
      </c>
      <c r="AH146" s="176">
        <f t="shared" si="220"/>
        <v>0</v>
      </c>
      <c r="AI146" s="176">
        <f t="shared" si="221"/>
        <v>0</v>
      </c>
      <c r="AJ146" s="185">
        <f t="shared" si="222"/>
        <v>0</v>
      </c>
      <c r="AK146" s="44"/>
      <c r="AM146" s="44"/>
      <c r="AO146" s="44"/>
      <c r="AP146" s="44" t="str">
        <f t="shared" si="223"/>
        <v/>
      </c>
    </row>
    <row r="147" spans="2:42" s="46" customFormat="1" ht="18.75" customHeight="1">
      <c r="B147" s="226"/>
      <c r="C147" s="227">
        <f>IF(B147&lt;&gt;"",VLOOKUP(B147,'Tipo Projeto'!$A$3:$B$44,2,0),0)</f>
        <v>0</v>
      </c>
      <c r="D147" s="228" t="s">
        <v>479</v>
      </c>
      <c r="E147" s="236" t="s">
        <v>499</v>
      </c>
      <c r="F147" s="233" t="s">
        <v>517</v>
      </c>
      <c r="G147" s="228" t="s">
        <v>79</v>
      </c>
      <c r="H147" s="229"/>
      <c r="I147" s="230">
        <v>2</v>
      </c>
      <c r="J147" s="225" t="s">
        <v>518</v>
      </c>
      <c r="K147" s="231">
        <v>1</v>
      </c>
      <c r="L147" s="237" t="s">
        <v>530</v>
      </c>
      <c r="M147" s="232" t="str">
        <f t="shared" si="210"/>
        <v>Simples</v>
      </c>
      <c r="N147" s="233" t="str">
        <f t="shared" si="211"/>
        <v/>
      </c>
      <c r="O147" s="234" t="str">
        <f t="shared" si="212"/>
        <v>Simples</v>
      </c>
      <c r="P147" s="235">
        <f t="shared" si="213"/>
        <v>3</v>
      </c>
      <c r="Q147" s="235">
        <f t="shared" si="214"/>
        <v>0</v>
      </c>
      <c r="R147" s="234">
        <f t="shared" si="215"/>
        <v>3</v>
      </c>
      <c r="S147" s="234">
        <f t="shared" si="216"/>
        <v>0</v>
      </c>
      <c r="T147" s="236">
        <v>43</v>
      </c>
      <c r="U147" s="236"/>
      <c r="W147" s="184"/>
      <c r="X147" s="56"/>
      <c r="Y147" s="155">
        <f>IF(X147&lt;&gt;"",VLOOKUP(X147,'Tipo Projeto'!$A$3:$B$44,2,0),0)</f>
        <v>0</v>
      </c>
      <c r="Z147" s="44"/>
      <c r="AA147" s="57"/>
      <c r="AB147" s="170"/>
      <c r="AC147" s="174"/>
      <c r="AD147" s="165"/>
      <c r="AE147" s="171" t="str">
        <f t="shared" si="217"/>
        <v/>
      </c>
      <c r="AF147" s="45" t="str">
        <f t="shared" si="218"/>
        <v/>
      </c>
      <c r="AG147" s="175" t="str">
        <f t="shared" si="219"/>
        <v/>
      </c>
      <c r="AH147" s="176">
        <f t="shared" si="220"/>
        <v>0</v>
      </c>
      <c r="AI147" s="176">
        <f t="shared" si="221"/>
        <v>0</v>
      </c>
      <c r="AJ147" s="185">
        <f t="shared" si="222"/>
        <v>0</v>
      </c>
      <c r="AK147" s="44"/>
      <c r="AM147" s="44"/>
      <c r="AO147" s="44"/>
      <c r="AP147" s="44" t="str">
        <f t="shared" si="223"/>
        <v/>
      </c>
    </row>
    <row r="148" spans="2:42" s="46" customFormat="1" ht="18.75" customHeight="1">
      <c r="B148" s="226" t="s">
        <v>73</v>
      </c>
      <c r="C148" s="227">
        <f>IF(B148&lt;&gt;"",VLOOKUP(B148,'Tipo Projeto'!$A$3:$B$44,2,0),0)</f>
        <v>1</v>
      </c>
      <c r="D148" s="228"/>
      <c r="E148" s="236" t="s">
        <v>553</v>
      </c>
      <c r="F148" s="393" t="s">
        <v>552</v>
      </c>
      <c r="G148" s="228" t="s">
        <v>80</v>
      </c>
      <c r="H148" s="229"/>
      <c r="I148" s="230">
        <v>3</v>
      </c>
      <c r="J148" s="225" t="s">
        <v>509</v>
      </c>
      <c r="K148" s="231">
        <v>2</v>
      </c>
      <c r="L148" s="237" t="s">
        <v>537</v>
      </c>
      <c r="M148" s="232" t="str">
        <f t="shared" ref="M148" si="238">IF(G148="EE",IF(OR(AND(OR(K148=1,K148=0),I148&gt;0,I148&lt;5),AND(OR(K148=1,K148=0),I148&gt;4,I148&lt;16),AND(K148=2,I148&gt;0,I148&lt;5)),"Simples",IF(OR(AND(OR(K148=1,K148=0),I148&gt;15),AND(K148=2,I148&gt;4,I148&lt;16),AND(K148&gt;2,I148&gt;0,I148&lt;5)),"Médio",IF(OR(AND(K148=2,I148&gt;15),AND(K148&gt;2,I148&gt;4,I148&lt;16),AND(K148&gt;2,I148&gt;15)),"Complexo",""))),
IF(OR(G148="CE",G148="SE"),IF(OR(AND(OR(K148=1,K148=0),I148&gt;0,I148&lt;6),AND(OR(K148=1,K148=0),I148&gt;5,I148&lt;20),AND(K148&gt;1,K148&lt;4,I148&gt;0,I148&lt;6)),"Simples",IF(OR(AND(OR(K148=1,K148=0),I148&gt;19),AND(K148&gt;1,K148&lt;4,I148&gt;5,I148&lt;20),AND(K148&gt;3,I148&gt;0,I148&lt;6)),"Médio",IF(OR(AND(K148&gt;1,K148&lt;4,I148&gt;19),AND(K148&gt;3,I148&gt;5,I148&lt;20),AND(K148&gt;3,I148&gt;19)),"Complexo",""))),""))</f>
        <v>Simples</v>
      </c>
      <c r="N148" s="233" t="str">
        <f t="shared" ref="N148" si="239">IF(G148="ALI",IF(OR(AND(OR(K148=1,K148=0),I148&gt;0,I148&lt;20),AND(OR(K148=1,K148=0),I148&gt;19,I148&lt;51),AND(K148&gt;1,K148&lt;6,I148&gt;0,I148&lt;20)),"Simples",IF(OR(AND(OR(K148=1,K148=0),I148&gt;50),AND(K148&gt;1,K148&lt;6,I148&gt;19,I148&lt;51),AND(K148&gt;5,I148&gt;0,I148&lt;20)),"Médio",IF(OR(AND(K148&gt;1,K148&lt;6,I148&gt;50),AND(K148&gt;5,I148&gt;19,I148&lt;51),AND(K148&gt;5,I148&gt;50)),"Complexo",""))),
IF(G148="AIE",IF(OR(AND(OR(K148=1, K148=0),I148&gt;0,I148&lt;20),AND(OR(K148=1, K148=0),I148&gt;19,I148&lt;51),AND(K148&gt;1,K148&lt;6,I148&gt;0,I148&lt;20)),"Simples",IF(OR(AND(OR(K148=1, K148=0),I148&gt;50),AND(K148&gt;1,K148&lt;6,I148&gt;19,I148&lt;51),AND(K148&gt;5,I148&gt;0,I148&lt;20)),"Médio",IF(OR(AND(K148&gt;1,K148&lt;6,I148&gt;50),AND(K148&gt;5,I148&gt;19,I148&lt;51),AND(K148&gt;5,I148&gt;50)),"Complexo",""))),""))</f>
        <v/>
      </c>
      <c r="O148" s="234" t="str">
        <f t="shared" ref="O148" si="240">IF(M148="",N148,IF(N148="",M148,""))</f>
        <v>Simples</v>
      </c>
      <c r="P148" s="235">
        <f t="shared" ref="P148" si="241">IF(AND(OR(G148="EE",G148="CE"),O148="Simples"),3,
IF(AND(OR(G148="EE",G148="CE"),O148="Médio"),4,
IF(AND(OR(G148="EE",G148="CE"),O148="Complexo"),6,
IF(AND(G148="SE",O148="Simples"),4,
IF(AND(G148="SE",O148="Médio"),5,
IF(AND(G148="SE",O148="Complexo"),7,0))))))</f>
        <v>4</v>
      </c>
      <c r="Q148" s="235">
        <f t="shared" ref="Q148" si="242">IF(AND(G148="ALI",N148="Simples"),7,
IF(AND(G148="ALI",N148="Médio"),10,
IF(AND(G148="ALI",N148="Complexo"),15,
IF(AND(G148="AIE",N148="Simples"),5,
IF(AND(G148="AIE",N148="Médio"),7,
IF(AND(G148="AIE",N148="Complexo"),10,0))))))</f>
        <v>0</v>
      </c>
      <c r="R148" s="234">
        <f t="shared" ref="R148" si="243">IF(G148="INM",C148*H148,IF(AND(OR(G148="EE",G148="CE"),O148="Simples"),3,
IF(AND(OR(G148="EE",G148="CE"),O148="Médio"),4,
IF(AND(OR(G148="EE",G148="CE"),O148="Complexo"),6,
IF(AND(G148="SE",O148="Simples"),4,
IF(AND(G148="SE",O148="Médio"),5,
IF(AND(G148="SE",O148="Complexo"),7,
IF(AND(G148="ALI",O148="Médio"),10,
IF(AND(G148="ALI",O148="Simples"),7,
IF(AND(G148="ALI",O148="Complexo"),15,
IF(AND(G148="AIE",O148="Simples"),5,
IF(AND(G148="AIE",O148="Médio"),7,
IF(AND(G148="AIE",O148="Complexo"),10,0))
)))))))))))</f>
        <v>4</v>
      </c>
      <c r="S148" s="234">
        <f t="shared" ref="S148" si="244">IF(G148="INM",C148*H148,IF(B148&lt;&gt;"Manutenção em interface",IF(B148&lt;&gt;"Desenv., Manutenção e Publicação de Páginas Estáticas",(P148+Q148)*C148,C148),C148))</f>
        <v>4</v>
      </c>
      <c r="T148" s="236">
        <v>50</v>
      </c>
      <c r="U148" s="236"/>
      <c r="W148" s="184"/>
      <c r="X148" s="56"/>
      <c r="Y148" s="155">
        <f>IF(X148&lt;&gt;"",VLOOKUP(X148,'Tipo Projeto'!$A$3:$B$44,2,0),0)</f>
        <v>0</v>
      </c>
      <c r="Z148" s="44"/>
      <c r="AA148" s="57"/>
      <c r="AB148" s="170"/>
      <c r="AC148" s="174"/>
      <c r="AD148" s="165"/>
      <c r="AE148" s="171" t="str">
        <f t="shared" ref="AE148" si="245">IF(Z148="EE",IF(OR(AND(OR(AC148=1,AC148=0),AA148&gt;0,AA148&lt;5),AND(OR(AC148=1,AC148=0),AA148&gt;4,AA148&lt;16),AND(AC148=2,AA148&gt;0,AA148&lt;5)),"Simples",IF(OR(AND(OR(AC148=1,AC148=0),AA148&gt;15),AND(AC148=2,AA148&gt;4,AA148&lt;16),AND(AC148&gt;2,AA148&gt;0,AA148&lt;5)),"Médio",IF(OR(AND(AC148=2,AA148&gt;15),AND(AC148&gt;2,AA148&gt;4,AA148&lt;16),AND(AC148&gt;2,AA148&gt;15)),"Complexo",""))),
IF(OR(Z148="CE",Z148="SE"),IF(OR(AND(OR(AC148=1,AC148=0),AA148&gt;0,AA148&lt;6),AND(OR(AC148=1,AC148=0),AA148&gt;5,AA148&lt;20),AND(AC148&gt;1,AC148&lt;4,AA148&gt;0,AA148&lt;6)),"Simples",IF(OR(AND(OR(AC148=1,AC148=0),AA148&gt;19),AND(AC148&gt;1,AC148&lt;4,AA148&gt;5,AA148&lt;20),AND(AC148&gt;3,AA148&gt;0,AA148&lt;6)),"Médio",IF(OR(AND(AC148&gt;1,AC148&lt;4,AA148&gt;19),AND(AC148&gt;3,AA148&gt;5,AA148&lt;20),AND(AC148&gt;3,AA148&gt;19)),"Complexo",""))),""))</f>
        <v/>
      </c>
      <c r="AF148" s="45" t="str">
        <f t="shared" ref="AF148" si="246">IF(Z148="ALI",IF(OR(AND(OR(AC148=1,AC148=0),AA148&gt;0,AA148&lt;20),AND(OR(AC148=1,AC148=0),AA148&gt;19,AA148&lt;51),AND(AC148&gt;1,AC148&lt;6,AA148&gt;0,AA148&lt;20)),"Simples",IF(OR(AND(OR(AC148=1,AC148=0),AA148&gt;50),AND(AC148&gt;1,AC148&lt;6,AA148&gt;19,AA148&lt;51),AND(AC148&gt;5,AA148&gt;0,AA148&lt;20)),"Médio",IF(OR(AND(AC148&gt;1,AC148&lt;6,AA148&gt;50),AND(AC148&gt;5,AA148&gt;19,AA148&lt;51),AND(AC148&gt;5,AA148&gt;50)),"Complexo",""))),
IF(Z148="AIE",IF(OR(AND(OR(AC148=1, AC148=0),AA148&gt;0,AA148&lt;20),AND(OR(AC148=1, AC148=0),AA148&gt;19,AA148&lt;51),AND(AC148&gt;1,AC148&lt;6,AA148&gt;0,AA148&lt;20)),"Simples",IF(OR(AND(OR(AC148=1, AC148=0),AA148&gt;50),AND(AC148&gt;1,AC148&lt;6,AA148&gt;19,AA148&lt;51),AND(AC148&gt;5,AA148&gt;0,AA148&lt;20)),"Médio",IF(OR(AND(AC148&gt;1,AC148&lt;6,AA148&gt;50),AND(AC148&gt;5,AA148&gt;19,AA148&lt;51),AND(AC148&gt;5,AA148&gt;50)),"Complexo",""))),""))</f>
        <v/>
      </c>
      <c r="AG148" s="175" t="str">
        <f t="shared" ref="AG148" si="247">IF(AE148="",AF148,IF(AF148="",AE148,""))</f>
        <v/>
      </c>
      <c r="AH148" s="176">
        <f t="shared" ref="AH148" si="248">IF(AND(OR(Z148="EE",Z148="CE"),AG148="Simples"),3,
IF(AND(OR(Z148="EE",Z148="CE"),AG148="Médio"),4,
IF(AND(OR(Z148="EE",Z148="CE"),AG148="Complexo"),6,
IF(AND(Z148="SE",AG148="Simples"),4,
IF(AND(Z148="SE",AG148="Médio"),5,
IF(AND(Z148="SE",AG148="Complexo"),7,0))))))</f>
        <v>0</v>
      </c>
      <c r="AI148" s="176">
        <f t="shared" ref="AI148" si="249">IF(AND(Z148="ALI",AF148="Simples"),7,
IF(AND(Z148="ALI",AF148="Médio"),10,
IF(AND(Z148="ALI",AF148="Complexo"),15,
IF(AND(Z148="AIE",AF148="Simples"),5,
IF(AND(Z148="AIE",AF148="Médio"),7,
IF(AND(Z148="AIE",AF148="Complexo"),10,0))))))</f>
        <v>0</v>
      </c>
      <c r="AJ148" s="185">
        <f t="shared" ref="AJ148" si="250">IF(W148="OK",S148,(
IF(X148&lt;&gt;"Manutenção em interface",IF(X148&lt;&gt;"Desenv., Manutenção e Publicação de Páginas Estáticas",(AH148+AI148)*Y148,Y148),Y148)))</f>
        <v>0</v>
      </c>
      <c r="AK148" s="44"/>
      <c r="AM148" s="44"/>
      <c r="AO148" s="44"/>
      <c r="AP148" s="44" t="str">
        <f t="shared" ref="AP148" si="251">IF(AJ148=0,"",IF(AJ148=S148,"OK","Divergente"))</f>
        <v/>
      </c>
    </row>
    <row r="149" spans="2:42" s="46" customFormat="1" ht="18.75" customHeight="1">
      <c r="B149" s="226"/>
      <c r="C149" s="227">
        <f>IF(B149&lt;&gt;"",VLOOKUP(B149,'Tipo Projeto'!$A$3:$B$44,2,0),0)</f>
        <v>0</v>
      </c>
      <c r="D149" s="228"/>
      <c r="E149" s="236"/>
      <c r="F149" s="393"/>
      <c r="G149" s="228"/>
      <c r="H149" s="229"/>
      <c r="I149" s="230"/>
      <c r="J149" s="225"/>
      <c r="K149" s="231"/>
      <c r="L149" s="237"/>
      <c r="M149" s="232" t="str">
        <f t="shared" si="210"/>
        <v/>
      </c>
      <c r="N149" s="233" t="str">
        <f t="shared" si="211"/>
        <v/>
      </c>
      <c r="O149" s="234" t="str">
        <f t="shared" si="212"/>
        <v/>
      </c>
      <c r="P149" s="235">
        <f t="shared" si="213"/>
        <v>0</v>
      </c>
      <c r="Q149" s="235">
        <f t="shared" si="214"/>
        <v>0</v>
      </c>
      <c r="R149" s="234">
        <f t="shared" si="215"/>
        <v>0</v>
      </c>
      <c r="S149" s="234">
        <f t="shared" si="216"/>
        <v>0</v>
      </c>
      <c r="T149" s="236"/>
      <c r="U149" s="236"/>
      <c r="W149" s="184"/>
      <c r="X149" s="56"/>
      <c r="Y149" s="155">
        <f>IF(X149&lt;&gt;"",VLOOKUP(X149,'Tipo Projeto'!$A$3:$B$44,2,0),0)</f>
        <v>0</v>
      </c>
      <c r="Z149" s="44"/>
      <c r="AA149" s="57"/>
      <c r="AB149" s="170"/>
      <c r="AC149" s="174"/>
      <c r="AD149" s="165"/>
      <c r="AE149" s="171" t="str">
        <f t="shared" si="217"/>
        <v/>
      </c>
      <c r="AF149" s="45" t="str">
        <f t="shared" si="218"/>
        <v/>
      </c>
      <c r="AG149" s="175" t="str">
        <f t="shared" si="219"/>
        <v/>
      </c>
      <c r="AH149" s="176">
        <f t="shared" si="220"/>
        <v>0</v>
      </c>
      <c r="AI149" s="176">
        <f t="shared" si="221"/>
        <v>0</v>
      </c>
      <c r="AJ149" s="185">
        <f t="shared" si="222"/>
        <v>0</v>
      </c>
      <c r="AK149" s="44"/>
      <c r="AM149" s="44"/>
      <c r="AO149" s="44"/>
      <c r="AP149" s="44" t="str">
        <f t="shared" si="223"/>
        <v/>
      </c>
    </row>
    <row r="150" spans="2:42" s="46" customFormat="1" ht="18.75" customHeight="1">
      <c r="B150" s="226"/>
      <c r="C150" s="227">
        <f>IF(B150&lt;&gt;"",VLOOKUP(B150,'Tipo Projeto'!$A$3:$B$44,2,0),0)</f>
        <v>0</v>
      </c>
      <c r="D150" s="228" t="s">
        <v>479</v>
      </c>
      <c r="E150" s="236" t="s">
        <v>527</v>
      </c>
      <c r="F150" s="393" t="s">
        <v>519</v>
      </c>
      <c r="G150" s="228" t="s">
        <v>80</v>
      </c>
      <c r="H150" s="229"/>
      <c r="I150" s="230">
        <v>18</v>
      </c>
      <c r="J150" s="225" t="s">
        <v>520</v>
      </c>
      <c r="K150" s="231">
        <v>7</v>
      </c>
      <c r="L150" s="237" t="s">
        <v>540</v>
      </c>
      <c r="M150" s="232" t="str">
        <f t="shared" si="210"/>
        <v>Complexo</v>
      </c>
      <c r="N150" s="233" t="str">
        <f t="shared" si="211"/>
        <v/>
      </c>
      <c r="O150" s="234" t="str">
        <f t="shared" si="212"/>
        <v>Complexo</v>
      </c>
      <c r="P150" s="235">
        <f t="shared" si="213"/>
        <v>7</v>
      </c>
      <c r="Q150" s="235">
        <f t="shared" si="214"/>
        <v>0</v>
      </c>
      <c r="R150" s="234">
        <f t="shared" si="215"/>
        <v>7</v>
      </c>
      <c r="S150" s="234">
        <f t="shared" si="216"/>
        <v>0</v>
      </c>
      <c r="T150" s="236">
        <v>45</v>
      </c>
      <c r="U150" s="236"/>
      <c r="W150" s="184"/>
      <c r="X150" s="56"/>
      <c r="Y150" s="155">
        <f>IF(X150&lt;&gt;"",VLOOKUP(X150,'Tipo Projeto'!$A$3:$B$44,2,0),0)</f>
        <v>0</v>
      </c>
      <c r="Z150" s="44"/>
      <c r="AA150" s="57"/>
      <c r="AB150" s="170"/>
      <c r="AC150" s="174"/>
      <c r="AD150" s="165"/>
      <c r="AE150" s="171" t="str">
        <f t="shared" si="217"/>
        <v/>
      </c>
      <c r="AF150" s="45" t="str">
        <f t="shared" si="218"/>
        <v/>
      </c>
      <c r="AG150" s="175" t="str">
        <f t="shared" si="219"/>
        <v/>
      </c>
      <c r="AH150" s="176">
        <f t="shared" si="220"/>
        <v>0</v>
      </c>
      <c r="AI150" s="176">
        <f t="shared" si="221"/>
        <v>0</v>
      </c>
      <c r="AJ150" s="185">
        <f t="shared" si="222"/>
        <v>0</v>
      </c>
      <c r="AK150" s="44"/>
      <c r="AM150" s="44"/>
      <c r="AO150" s="44"/>
      <c r="AP150" s="44" t="str">
        <f t="shared" si="223"/>
        <v/>
      </c>
    </row>
    <row r="151" spans="2:42" s="46" customFormat="1" ht="18.75" customHeight="1">
      <c r="B151" s="226"/>
      <c r="C151" s="227">
        <f>IF(B151&lt;&gt;"",VLOOKUP(B151,'Tipo Projeto'!$A$3:$B$44,2,0),0)</f>
        <v>0</v>
      </c>
      <c r="D151" s="228" t="s">
        <v>479</v>
      </c>
      <c r="E151" s="236" t="s">
        <v>527</v>
      </c>
      <c r="F151" s="393" t="s">
        <v>521</v>
      </c>
      <c r="G151" s="228" t="s">
        <v>80</v>
      </c>
      <c r="H151" s="229"/>
      <c r="I151" s="230">
        <v>31</v>
      </c>
      <c r="J151" s="225" t="s">
        <v>524</v>
      </c>
      <c r="K151" s="231">
        <v>7</v>
      </c>
      <c r="L151" s="237" t="s">
        <v>540</v>
      </c>
      <c r="M151" s="232" t="str">
        <f t="shared" si="210"/>
        <v>Complexo</v>
      </c>
      <c r="N151" s="233" t="str">
        <f t="shared" si="211"/>
        <v/>
      </c>
      <c r="O151" s="234" t="str">
        <f t="shared" si="212"/>
        <v>Complexo</v>
      </c>
      <c r="P151" s="235">
        <f t="shared" si="213"/>
        <v>7</v>
      </c>
      <c r="Q151" s="235">
        <f t="shared" si="214"/>
        <v>0</v>
      </c>
      <c r="R151" s="234">
        <f t="shared" si="215"/>
        <v>7</v>
      </c>
      <c r="S151" s="234">
        <f t="shared" si="216"/>
        <v>0</v>
      </c>
      <c r="T151" s="236">
        <v>45</v>
      </c>
      <c r="U151" s="236"/>
      <c r="W151" s="184"/>
      <c r="X151" s="56"/>
      <c r="Y151" s="155">
        <f>IF(X151&lt;&gt;"",VLOOKUP(X151,'Tipo Projeto'!$A$3:$B$44,2,0),0)</f>
        <v>0</v>
      </c>
      <c r="Z151" s="44"/>
      <c r="AA151" s="57"/>
      <c r="AB151" s="170"/>
      <c r="AC151" s="174"/>
      <c r="AD151" s="165"/>
      <c r="AE151" s="171" t="str">
        <f t="shared" si="217"/>
        <v/>
      </c>
      <c r="AF151" s="45" t="str">
        <f t="shared" si="218"/>
        <v/>
      </c>
      <c r="AG151" s="175" t="str">
        <f t="shared" si="219"/>
        <v/>
      </c>
      <c r="AH151" s="176">
        <f t="shared" si="220"/>
        <v>0</v>
      </c>
      <c r="AI151" s="176">
        <f t="shared" si="221"/>
        <v>0</v>
      </c>
      <c r="AJ151" s="185">
        <f t="shared" si="222"/>
        <v>0</v>
      </c>
      <c r="AK151" s="44"/>
      <c r="AM151" s="44"/>
      <c r="AO151" s="44"/>
      <c r="AP151" s="44" t="str">
        <f t="shared" si="223"/>
        <v/>
      </c>
    </row>
    <row r="152" spans="2:42" s="46" customFormat="1" ht="18.75" customHeight="1">
      <c r="B152" s="226"/>
      <c r="C152" s="227">
        <f>IF(B152&lt;&gt;"",VLOOKUP(B152,'Tipo Projeto'!$A$3:$B$44,2,0),0)</f>
        <v>0</v>
      </c>
      <c r="D152" s="228" t="s">
        <v>479</v>
      </c>
      <c r="E152" s="236" t="s">
        <v>527</v>
      </c>
      <c r="F152" s="393" t="s">
        <v>522</v>
      </c>
      <c r="G152" s="228" t="s">
        <v>78</v>
      </c>
      <c r="H152" s="229"/>
      <c r="I152" s="230">
        <v>5</v>
      </c>
      <c r="J152" s="225" t="s">
        <v>525</v>
      </c>
      <c r="K152" s="231">
        <v>1</v>
      </c>
      <c r="L152" s="237" t="s">
        <v>530</v>
      </c>
      <c r="M152" s="232" t="str">
        <f t="shared" si="210"/>
        <v>Simples</v>
      </c>
      <c r="N152" s="233" t="str">
        <f t="shared" si="211"/>
        <v/>
      </c>
      <c r="O152" s="234" t="str">
        <f t="shared" si="212"/>
        <v>Simples</v>
      </c>
      <c r="P152" s="235">
        <f t="shared" si="213"/>
        <v>3</v>
      </c>
      <c r="Q152" s="235">
        <f t="shared" si="214"/>
        <v>0</v>
      </c>
      <c r="R152" s="234">
        <f t="shared" si="215"/>
        <v>3</v>
      </c>
      <c r="S152" s="234">
        <f t="shared" si="216"/>
        <v>0</v>
      </c>
      <c r="T152" s="236">
        <v>45</v>
      </c>
      <c r="U152" s="236"/>
      <c r="W152" s="184"/>
      <c r="X152" s="56"/>
      <c r="Y152" s="155">
        <f>IF(X152&lt;&gt;"",VLOOKUP(X152,'Tipo Projeto'!$A$3:$B$44,2,0),0)</f>
        <v>0</v>
      </c>
      <c r="Z152" s="44"/>
      <c r="AA152" s="57"/>
      <c r="AB152" s="170"/>
      <c r="AC152" s="174"/>
      <c r="AD152" s="165"/>
      <c r="AE152" s="171" t="str">
        <f t="shared" si="217"/>
        <v/>
      </c>
      <c r="AF152" s="45" t="str">
        <f t="shared" si="218"/>
        <v/>
      </c>
      <c r="AG152" s="175" t="str">
        <f t="shared" si="219"/>
        <v/>
      </c>
      <c r="AH152" s="176">
        <f t="shared" si="220"/>
        <v>0</v>
      </c>
      <c r="AI152" s="176">
        <f t="shared" si="221"/>
        <v>0</v>
      </c>
      <c r="AJ152" s="185">
        <f t="shared" si="222"/>
        <v>0</v>
      </c>
      <c r="AK152" s="44"/>
      <c r="AM152" s="44"/>
      <c r="AO152" s="44"/>
      <c r="AP152" s="44" t="str">
        <f t="shared" si="223"/>
        <v/>
      </c>
    </row>
    <row r="153" spans="2:42" s="46" customFormat="1" ht="18.75" customHeight="1">
      <c r="B153" s="226"/>
      <c r="C153" s="227">
        <f>IF(B153&lt;&gt;"",VLOOKUP(B153,'Tipo Projeto'!$A$3:$B$44,2,0),0)</f>
        <v>0</v>
      </c>
      <c r="D153" s="228" t="s">
        <v>479</v>
      </c>
      <c r="E153" s="236" t="s">
        <v>527</v>
      </c>
      <c r="F153" s="393" t="s">
        <v>523</v>
      </c>
      <c r="G153" s="228" t="s">
        <v>78</v>
      </c>
      <c r="H153" s="229"/>
      <c r="I153" s="230">
        <v>3</v>
      </c>
      <c r="J153" s="225" t="s">
        <v>272</v>
      </c>
      <c r="K153" s="231">
        <v>1</v>
      </c>
      <c r="L153" s="237" t="s">
        <v>530</v>
      </c>
      <c r="M153" s="232" t="str">
        <f t="shared" ref="M153:M155" si="252">IF(G153="EE",IF(OR(AND(OR(K153=1,K153=0),I153&gt;0,I153&lt;5),AND(OR(K153=1,K153=0),I153&gt;4,I153&lt;16),AND(K153=2,I153&gt;0,I153&lt;5)),"Simples",IF(OR(AND(OR(K153=1,K153=0),I153&gt;15),AND(K153=2,I153&gt;4,I153&lt;16),AND(K153&gt;2,I153&gt;0,I153&lt;5)),"Médio",IF(OR(AND(K153=2,I153&gt;15),AND(K153&gt;2,I153&gt;4,I153&lt;16),AND(K153&gt;2,I153&gt;15)),"Complexo",""))),
IF(OR(G153="CE",G153="SE"),IF(OR(AND(OR(K153=1,K153=0),I153&gt;0,I153&lt;6),AND(OR(K153=1,K153=0),I153&gt;5,I153&lt;20),AND(K153&gt;1,K153&lt;4,I153&gt;0,I153&lt;6)),"Simples",IF(OR(AND(OR(K153=1,K153=0),I153&gt;19),AND(K153&gt;1,K153&lt;4,I153&gt;5,I153&lt;20),AND(K153&gt;3,I153&gt;0,I153&lt;6)),"Médio",IF(OR(AND(K153&gt;1,K153&lt;4,I153&gt;19),AND(K153&gt;3,I153&gt;5,I153&lt;20),AND(K153&gt;3,I153&gt;19)),"Complexo",""))),""))</f>
        <v>Simples</v>
      </c>
      <c r="N153" s="233" t="str">
        <f t="shared" ref="N153:N155" si="253">IF(G153="ALI",IF(OR(AND(OR(K153=1,K153=0),I153&gt;0,I153&lt;20),AND(OR(K153=1,K153=0),I153&gt;19,I153&lt;51),AND(K153&gt;1,K153&lt;6,I153&gt;0,I153&lt;20)),"Simples",IF(OR(AND(OR(K153=1,K153=0),I153&gt;50),AND(K153&gt;1,K153&lt;6,I153&gt;19,I153&lt;51),AND(K153&gt;5,I153&gt;0,I153&lt;20)),"Médio",IF(OR(AND(K153&gt;1,K153&lt;6,I153&gt;50),AND(K153&gt;5,I153&gt;19,I153&lt;51),AND(K153&gt;5,I153&gt;50)),"Complexo",""))),
IF(G153="AIE",IF(OR(AND(OR(K153=1, K153=0),I153&gt;0,I153&lt;20),AND(OR(K153=1, K153=0),I153&gt;19,I153&lt;51),AND(K153&gt;1,K153&lt;6,I153&gt;0,I153&lt;20)),"Simples",IF(OR(AND(OR(K153=1, K153=0),I153&gt;50),AND(K153&gt;1,K153&lt;6,I153&gt;19,I153&lt;51),AND(K153&gt;5,I153&gt;0,I153&lt;20)),"Médio",IF(OR(AND(K153&gt;1,K153&lt;6,I153&gt;50),AND(K153&gt;5,I153&gt;19,I153&lt;51),AND(K153&gt;5,I153&gt;50)),"Complexo",""))),""))</f>
        <v/>
      </c>
      <c r="O153" s="234" t="str">
        <f t="shared" ref="O153:O155" si="254">IF(M153="",N153,IF(N153="",M153,""))</f>
        <v>Simples</v>
      </c>
      <c r="P153" s="235">
        <f t="shared" ref="P153:P155" si="255">IF(AND(OR(G153="EE",G153="CE"),O153="Simples"),3,
IF(AND(OR(G153="EE",G153="CE"),O153="Médio"),4,
IF(AND(OR(G153="EE",G153="CE"),O153="Complexo"),6,
IF(AND(G153="SE",O153="Simples"),4,
IF(AND(G153="SE",O153="Médio"),5,
IF(AND(G153="SE",O153="Complexo"),7,0))))))</f>
        <v>3</v>
      </c>
      <c r="Q153" s="235">
        <f t="shared" ref="Q153:Q155" si="256">IF(AND(G153="ALI",N153="Simples"),7,
IF(AND(G153="ALI",N153="Médio"),10,
IF(AND(G153="ALI",N153="Complexo"),15,
IF(AND(G153="AIE",N153="Simples"),5,
IF(AND(G153="AIE",N153="Médio"),7,
IF(AND(G153="AIE",N153="Complexo"),10,0))))))</f>
        <v>0</v>
      </c>
      <c r="R153" s="234">
        <f t="shared" ref="R153:R155" si="257">IF(G153="INM",C153*H153,IF(AND(OR(G153="EE",G153="CE"),O153="Simples"),3,
IF(AND(OR(G153="EE",G153="CE"),O153="Médio"),4,
IF(AND(OR(G153="EE",G153="CE"),O153="Complexo"),6,
IF(AND(G153="SE",O153="Simples"),4,
IF(AND(G153="SE",O153="Médio"),5,
IF(AND(G153="SE",O153="Complexo"),7,
IF(AND(G153="ALI",O153="Médio"),10,
IF(AND(G153="ALI",O153="Simples"),7,
IF(AND(G153="ALI",O153="Complexo"),15,
IF(AND(G153="AIE",O153="Simples"),5,
IF(AND(G153="AIE",O153="Médio"),7,
IF(AND(G153="AIE",O153="Complexo"),10,0))
)))))))))))</f>
        <v>3</v>
      </c>
      <c r="S153" s="234">
        <f t="shared" ref="S153:S155" si="258">IF(G153="INM",C153*H153,IF(B153&lt;&gt;"Manutenção em interface",IF(B153&lt;&gt;"Desenv., Manutenção e Publicação de Páginas Estáticas",(P153+Q153)*C153,C153),C153))</f>
        <v>0</v>
      </c>
      <c r="T153" s="236">
        <v>45</v>
      </c>
      <c r="U153" s="236"/>
      <c r="W153" s="184"/>
      <c r="X153" s="56"/>
      <c r="Y153" s="155">
        <f>IF(X153&lt;&gt;"",VLOOKUP(X153,'Tipo Projeto'!$A$3:$B$44,2,0),0)</f>
        <v>0</v>
      </c>
      <c r="Z153" s="44"/>
      <c r="AA153" s="57"/>
      <c r="AB153" s="170"/>
      <c r="AC153" s="174"/>
      <c r="AD153" s="165"/>
      <c r="AE153" s="171" t="str">
        <f t="shared" ref="AE153:AE155" si="259">IF(Z153="EE",IF(OR(AND(OR(AC153=1,AC153=0),AA153&gt;0,AA153&lt;5),AND(OR(AC153=1,AC153=0),AA153&gt;4,AA153&lt;16),AND(AC153=2,AA153&gt;0,AA153&lt;5)),"Simples",IF(OR(AND(OR(AC153=1,AC153=0),AA153&gt;15),AND(AC153=2,AA153&gt;4,AA153&lt;16),AND(AC153&gt;2,AA153&gt;0,AA153&lt;5)),"Médio",IF(OR(AND(AC153=2,AA153&gt;15),AND(AC153&gt;2,AA153&gt;4,AA153&lt;16),AND(AC153&gt;2,AA153&gt;15)),"Complexo",""))),
IF(OR(Z153="CE",Z153="SE"),IF(OR(AND(OR(AC153=1,AC153=0),AA153&gt;0,AA153&lt;6),AND(OR(AC153=1,AC153=0),AA153&gt;5,AA153&lt;20),AND(AC153&gt;1,AC153&lt;4,AA153&gt;0,AA153&lt;6)),"Simples",IF(OR(AND(OR(AC153=1,AC153=0),AA153&gt;19),AND(AC153&gt;1,AC153&lt;4,AA153&gt;5,AA153&lt;20),AND(AC153&gt;3,AA153&gt;0,AA153&lt;6)),"Médio",IF(OR(AND(AC153&gt;1,AC153&lt;4,AA153&gt;19),AND(AC153&gt;3,AA153&gt;5,AA153&lt;20),AND(AC153&gt;3,AA153&gt;19)),"Complexo",""))),""))</f>
        <v/>
      </c>
      <c r="AF153" s="45" t="str">
        <f t="shared" ref="AF153:AF155" si="260">IF(Z153="ALI",IF(OR(AND(OR(AC153=1,AC153=0),AA153&gt;0,AA153&lt;20),AND(OR(AC153=1,AC153=0),AA153&gt;19,AA153&lt;51),AND(AC153&gt;1,AC153&lt;6,AA153&gt;0,AA153&lt;20)),"Simples",IF(OR(AND(OR(AC153=1,AC153=0),AA153&gt;50),AND(AC153&gt;1,AC153&lt;6,AA153&gt;19,AA153&lt;51),AND(AC153&gt;5,AA153&gt;0,AA153&lt;20)),"Médio",IF(OR(AND(AC153&gt;1,AC153&lt;6,AA153&gt;50),AND(AC153&gt;5,AA153&gt;19,AA153&lt;51),AND(AC153&gt;5,AA153&gt;50)),"Complexo",""))),
IF(Z153="AIE",IF(OR(AND(OR(AC153=1, AC153=0),AA153&gt;0,AA153&lt;20),AND(OR(AC153=1, AC153=0),AA153&gt;19,AA153&lt;51),AND(AC153&gt;1,AC153&lt;6,AA153&gt;0,AA153&lt;20)),"Simples",IF(OR(AND(OR(AC153=1, AC153=0),AA153&gt;50),AND(AC153&gt;1,AC153&lt;6,AA153&gt;19,AA153&lt;51),AND(AC153&gt;5,AA153&gt;0,AA153&lt;20)),"Médio",IF(OR(AND(AC153&gt;1,AC153&lt;6,AA153&gt;50),AND(AC153&gt;5,AA153&gt;19,AA153&lt;51),AND(AC153&gt;5,AA153&gt;50)),"Complexo",""))),""))</f>
        <v/>
      </c>
      <c r="AG153" s="175" t="str">
        <f t="shared" ref="AG153:AG155" si="261">IF(AE153="",AF153,IF(AF153="",AE153,""))</f>
        <v/>
      </c>
      <c r="AH153" s="176">
        <f t="shared" ref="AH153:AH155" si="262">IF(AND(OR(Z153="EE",Z153="CE"),AG153="Simples"),3,
IF(AND(OR(Z153="EE",Z153="CE"),AG153="Médio"),4,
IF(AND(OR(Z153="EE",Z153="CE"),AG153="Complexo"),6,
IF(AND(Z153="SE",AG153="Simples"),4,
IF(AND(Z153="SE",AG153="Médio"),5,
IF(AND(Z153="SE",AG153="Complexo"),7,0))))))</f>
        <v>0</v>
      </c>
      <c r="AI153" s="176">
        <f t="shared" ref="AI153:AI155" si="263">IF(AND(Z153="ALI",AF153="Simples"),7,
IF(AND(Z153="ALI",AF153="Médio"),10,
IF(AND(Z153="ALI",AF153="Complexo"),15,
IF(AND(Z153="AIE",AF153="Simples"),5,
IF(AND(Z153="AIE",AF153="Médio"),7,
IF(AND(Z153="AIE",AF153="Complexo"),10,0))))))</f>
        <v>0</v>
      </c>
      <c r="AJ153" s="185">
        <f t="shared" ref="AJ153:AJ155" si="264">IF(W153="OK",S153,(
IF(X153&lt;&gt;"Manutenção em interface",IF(X153&lt;&gt;"Desenv., Manutenção e Publicação de Páginas Estáticas",(AH153+AI153)*Y153,Y153),Y153)))</f>
        <v>0</v>
      </c>
      <c r="AK153" s="44"/>
      <c r="AM153" s="44"/>
      <c r="AO153" s="44"/>
      <c r="AP153" s="44" t="str">
        <f t="shared" ref="AP153:AP155" si="265">IF(AJ153=0,"",IF(AJ153=S153,"OK","Divergente"))</f>
        <v/>
      </c>
    </row>
    <row r="154" spans="2:42" s="46" customFormat="1" ht="18.75" customHeight="1">
      <c r="B154" s="226"/>
      <c r="C154" s="227">
        <f>IF(B154&lt;&gt;"",VLOOKUP(B154,'Tipo Projeto'!$A$3:$B$44,2,0),0)</f>
        <v>0</v>
      </c>
      <c r="D154" s="228" t="s">
        <v>479</v>
      </c>
      <c r="E154" s="236" t="s">
        <v>527</v>
      </c>
      <c r="F154" s="393" t="s">
        <v>526</v>
      </c>
      <c r="G154" s="228" t="s">
        <v>78</v>
      </c>
      <c r="H154" s="229"/>
      <c r="I154" s="230">
        <v>3</v>
      </c>
      <c r="J154" s="225" t="s">
        <v>272</v>
      </c>
      <c r="K154" s="231">
        <v>1</v>
      </c>
      <c r="L154" s="237" t="s">
        <v>530</v>
      </c>
      <c r="M154" s="232" t="str">
        <f t="shared" si="252"/>
        <v>Simples</v>
      </c>
      <c r="N154" s="233" t="str">
        <f t="shared" si="253"/>
        <v/>
      </c>
      <c r="O154" s="234" t="str">
        <f t="shared" si="254"/>
        <v>Simples</v>
      </c>
      <c r="P154" s="235">
        <f t="shared" si="255"/>
        <v>3</v>
      </c>
      <c r="Q154" s="235">
        <f t="shared" si="256"/>
        <v>0</v>
      </c>
      <c r="R154" s="234">
        <f t="shared" si="257"/>
        <v>3</v>
      </c>
      <c r="S154" s="234">
        <f t="shared" si="258"/>
        <v>0</v>
      </c>
      <c r="T154" s="236">
        <v>45</v>
      </c>
      <c r="U154" s="236"/>
      <c r="W154" s="184"/>
      <c r="X154" s="56"/>
      <c r="Y154" s="155">
        <f>IF(X154&lt;&gt;"",VLOOKUP(X154,'Tipo Projeto'!$A$3:$B$44,2,0),0)</f>
        <v>0</v>
      </c>
      <c r="Z154" s="44"/>
      <c r="AA154" s="57"/>
      <c r="AB154" s="170"/>
      <c r="AC154" s="174"/>
      <c r="AD154" s="165"/>
      <c r="AE154" s="171" t="str">
        <f t="shared" si="259"/>
        <v/>
      </c>
      <c r="AF154" s="45" t="str">
        <f t="shared" si="260"/>
        <v/>
      </c>
      <c r="AG154" s="175" t="str">
        <f t="shared" si="261"/>
        <v/>
      </c>
      <c r="AH154" s="176">
        <f t="shared" si="262"/>
        <v>0</v>
      </c>
      <c r="AI154" s="176">
        <f t="shared" si="263"/>
        <v>0</v>
      </c>
      <c r="AJ154" s="185">
        <f t="shared" si="264"/>
        <v>0</v>
      </c>
      <c r="AK154" s="44"/>
      <c r="AM154" s="44"/>
      <c r="AO154" s="44"/>
      <c r="AP154" s="44" t="str">
        <f t="shared" si="265"/>
        <v/>
      </c>
    </row>
    <row r="155" spans="2:42" s="46" customFormat="1" ht="18.75" customHeight="1">
      <c r="B155" s="226"/>
      <c r="C155" s="227">
        <f>IF(B155&lt;&gt;"",VLOOKUP(B155,'Tipo Projeto'!$A$3:$B$44,2,0),0)</f>
        <v>0</v>
      </c>
      <c r="D155" s="228"/>
      <c r="E155" s="236"/>
      <c r="F155" s="393"/>
      <c r="G155" s="228"/>
      <c r="H155" s="229"/>
      <c r="I155" s="230"/>
      <c r="J155" s="225"/>
      <c r="K155" s="231"/>
      <c r="L155" s="237"/>
      <c r="M155" s="232" t="str">
        <f t="shared" si="252"/>
        <v/>
      </c>
      <c r="N155" s="233" t="str">
        <f t="shared" si="253"/>
        <v/>
      </c>
      <c r="O155" s="234" t="str">
        <f t="shared" si="254"/>
        <v/>
      </c>
      <c r="P155" s="235">
        <f t="shared" si="255"/>
        <v>0</v>
      </c>
      <c r="Q155" s="235">
        <f t="shared" si="256"/>
        <v>0</v>
      </c>
      <c r="R155" s="234">
        <f t="shared" si="257"/>
        <v>0</v>
      </c>
      <c r="S155" s="234">
        <f t="shared" si="258"/>
        <v>0</v>
      </c>
      <c r="T155" s="236"/>
      <c r="U155" s="236"/>
      <c r="W155" s="184"/>
      <c r="X155" s="56"/>
      <c r="Y155" s="155">
        <f>IF(X155&lt;&gt;"",VLOOKUP(X155,'Tipo Projeto'!$A$3:$B$44,2,0),0)</f>
        <v>0</v>
      </c>
      <c r="Z155" s="44"/>
      <c r="AA155" s="57"/>
      <c r="AB155" s="170"/>
      <c r="AC155" s="174"/>
      <c r="AD155" s="165"/>
      <c r="AE155" s="171" t="str">
        <f t="shared" si="259"/>
        <v/>
      </c>
      <c r="AF155" s="45" t="str">
        <f t="shared" si="260"/>
        <v/>
      </c>
      <c r="AG155" s="175" t="str">
        <f t="shared" si="261"/>
        <v/>
      </c>
      <c r="AH155" s="176">
        <f t="shared" si="262"/>
        <v>0</v>
      </c>
      <c r="AI155" s="176">
        <f t="shared" si="263"/>
        <v>0</v>
      </c>
      <c r="AJ155" s="185">
        <f t="shared" si="264"/>
        <v>0</v>
      </c>
      <c r="AK155" s="44"/>
      <c r="AM155" s="44"/>
      <c r="AO155" s="44"/>
      <c r="AP155" s="44" t="str">
        <f t="shared" si="265"/>
        <v/>
      </c>
    </row>
    <row r="156" spans="2:42" s="46" customFormat="1" ht="18.75" customHeight="1">
      <c r="B156" s="226" t="s">
        <v>73</v>
      </c>
      <c r="C156" s="227">
        <f>IF(B156&lt;&gt;"",VLOOKUP(B156,'Tipo Projeto'!$A$3:$B$44,2,0),0)</f>
        <v>1</v>
      </c>
      <c r="D156" s="228"/>
      <c r="E156" s="236" t="s">
        <v>548</v>
      </c>
      <c r="F156" s="393" t="s">
        <v>545</v>
      </c>
      <c r="G156" s="228" t="s">
        <v>79</v>
      </c>
      <c r="H156" s="229"/>
      <c r="I156" s="230">
        <v>3</v>
      </c>
      <c r="J156" s="225" t="s">
        <v>549</v>
      </c>
      <c r="K156" s="231">
        <v>1</v>
      </c>
      <c r="L156" s="237" t="s">
        <v>315</v>
      </c>
      <c r="M156" s="232" t="str">
        <f t="shared" ref="M156:M172" si="266">IF(G156="EE",IF(OR(AND(OR(K156=1,K156=0),I156&gt;0,I156&lt;5),AND(OR(K156=1,K156=0),I156&gt;4,I156&lt;16),AND(K156=2,I156&gt;0,I156&lt;5)),"Simples",IF(OR(AND(OR(K156=1,K156=0),I156&gt;15),AND(K156=2,I156&gt;4,I156&lt;16),AND(K156&gt;2,I156&gt;0,I156&lt;5)),"Médio",IF(OR(AND(K156=2,I156&gt;15),AND(K156&gt;2,I156&gt;4,I156&lt;16),AND(K156&gt;2,I156&gt;15)),"Complexo",""))),
IF(OR(G156="CE",G156="SE"),IF(OR(AND(OR(K156=1,K156=0),I156&gt;0,I156&lt;6),AND(OR(K156=1,K156=0),I156&gt;5,I156&lt;20),AND(K156&gt;1,K156&lt;4,I156&gt;0,I156&lt;6)),"Simples",IF(OR(AND(OR(K156=1,K156=0),I156&gt;19),AND(K156&gt;1,K156&lt;4,I156&gt;5,I156&lt;20),AND(K156&gt;3,I156&gt;0,I156&lt;6)),"Médio",IF(OR(AND(K156&gt;1,K156&lt;4,I156&gt;19),AND(K156&gt;3,I156&gt;5,I156&lt;20),AND(K156&gt;3,I156&gt;19)),"Complexo",""))),""))</f>
        <v>Simples</v>
      </c>
      <c r="N156" s="233" t="str">
        <f t="shared" ref="N156:N172" si="267">IF(G156="ALI",IF(OR(AND(OR(K156=1,K156=0),I156&gt;0,I156&lt;20),AND(OR(K156=1,K156=0),I156&gt;19,I156&lt;51),AND(K156&gt;1,K156&lt;6,I156&gt;0,I156&lt;20)),"Simples",IF(OR(AND(OR(K156=1,K156=0),I156&gt;50),AND(K156&gt;1,K156&lt;6,I156&gt;19,I156&lt;51),AND(K156&gt;5,I156&gt;0,I156&lt;20)),"Médio",IF(OR(AND(K156&gt;1,K156&lt;6,I156&gt;50),AND(K156&gt;5,I156&gt;19,I156&lt;51),AND(K156&gt;5,I156&gt;50)),"Complexo",""))),
IF(G156="AIE",IF(OR(AND(OR(K156=1, K156=0),I156&gt;0,I156&lt;20),AND(OR(K156=1, K156=0),I156&gt;19,I156&lt;51),AND(K156&gt;1,K156&lt;6,I156&gt;0,I156&lt;20)),"Simples",IF(OR(AND(OR(K156=1, K156=0),I156&gt;50),AND(K156&gt;1,K156&lt;6,I156&gt;19,I156&lt;51),AND(K156&gt;5,I156&gt;0,I156&lt;20)),"Médio",IF(OR(AND(K156&gt;1,K156&lt;6,I156&gt;50),AND(K156&gt;5,I156&gt;19,I156&lt;51),AND(K156&gt;5,I156&gt;50)),"Complexo",""))),""))</f>
        <v/>
      </c>
      <c r="O156" s="234" t="str">
        <f t="shared" ref="O156:O172" si="268">IF(M156="",N156,IF(N156="",M156,""))</f>
        <v>Simples</v>
      </c>
      <c r="P156" s="235">
        <f t="shared" ref="P156:P172" si="269">IF(AND(OR(G156="EE",G156="CE"),O156="Simples"),3,
IF(AND(OR(G156="EE",G156="CE"),O156="Médio"),4,
IF(AND(OR(G156="EE",G156="CE"),O156="Complexo"),6,
IF(AND(G156="SE",O156="Simples"),4,
IF(AND(G156="SE",O156="Médio"),5,
IF(AND(G156="SE",O156="Complexo"),7,0))))))</f>
        <v>3</v>
      </c>
      <c r="Q156" s="235">
        <f t="shared" ref="Q156:Q172" si="270">IF(AND(G156="ALI",N156="Simples"),7,
IF(AND(G156="ALI",N156="Médio"),10,
IF(AND(G156="ALI",N156="Complexo"),15,
IF(AND(G156="AIE",N156="Simples"),5,
IF(AND(G156="AIE",N156="Médio"),7,
IF(AND(G156="AIE",N156="Complexo"),10,0))))))</f>
        <v>0</v>
      </c>
      <c r="R156" s="234">
        <f t="shared" ref="R156:R172" si="271">IF(G156="INM",C156*H156,IF(AND(OR(G156="EE",G156="CE"),O156="Simples"),3,
IF(AND(OR(G156="EE",G156="CE"),O156="Médio"),4,
IF(AND(OR(G156="EE",G156="CE"),O156="Complexo"),6,
IF(AND(G156="SE",O156="Simples"),4,
IF(AND(G156="SE",O156="Médio"),5,
IF(AND(G156="SE",O156="Complexo"),7,
IF(AND(G156="ALI",O156="Médio"),10,
IF(AND(G156="ALI",O156="Simples"),7,
IF(AND(G156="ALI",O156="Complexo"),15,
IF(AND(G156="AIE",O156="Simples"),5,
IF(AND(G156="AIE",O156="Médio"),7,
IF(AND(G156="AIE",O156="Complexo"),10,0))
)))))))))))</f>
        <v>3</v>
      </c>
      <c r="S156" s="234">
        <f t="shared" ref="S156:S172" si="272">IF(G156="INM",C156*H156,IF(B156&lt;&gt;"Manutenção em interface",IF(B156&lt;&gt;"Desenv., Manutenção e Publicação de Páginas Estáticas",(P156+Q156)*C156,C156),C156))</f>
        <v>3</v>
      </c>
      <c r="T156" s="236">
        <v>47</v>
      </c>
      <c r="U156" s="236"/>
      <c r="W156" s="184"/>
      <c r="X156" s="56"/>
      <c r="Y156" s="155">
        <f>IF(X156&lt;&gt;"",VLOOKUP(X156,'Tipo Projeto'!$A$3:$B$44,2,0),0)</f>
        <v>0</v>
      </c>
      <c r="Z156" s="44"/>
      <c r="AA156" s="57"/>
      <c r="AB156" s="170"/>
      <c r="AC156" s="174"/>
      <c r="AD156" s="165"/>
      <c r="AE156" s="171" t="str">
        <f t="shared" ref="AE156:AE172" si="273">IF(Z156="EE",IF(OR(AND(OR(AC156=1,AC156=0),AA156&gt;0,AA156&lt;5),AND(OR(AC156=1,AC156=0),AA156&gt;4,AA156&lt;16),AND(AC156=2,AA156&gt;0,AA156&lt;5)),"Simples",IF(OR(AND(OR(AC156=1,AC156=0),AA156&gt;15),AND(AC156=2,AA156&gt;4,AA156&lt;16),AND(AC156&gt;2,AA156&gt;0,AA156&lt;5)),"Médio",IF(OR(AND(AC156=2,AA156&gt;15),AND(AC156&gt;2,AA156&gt;4,AA156&lt;16),AND(AC156&gt;2,AA156&gt;15)),"Complexo",""))),
IF(OR(Z156="CE",Z156="SE"),IF(OR(AND(OR(AC156=1,AC156=0),AA156&gt;0,AA156&lt;6),AND(OR(AC156=1,AC156=0),AA156&gt;5,AA156&lt;20),AND(AC156&gt;1,AC156&lt;4,AA156&gt;0,AA156&lt;6)),"Simples",IF(OR(AND(OR(AC156=1,AC156=0),AA156&gt;19),AND(AC156&gt;1,AC156&lt;4,AA156&gt;5,AA156&lt;20),AND(AC156&gt;3,AA156&gt;0,AA156&lt;6)),"Médio",IF(OR(AND(AC156&gt;1,AC156&lt;4,AA156&gt;19),AND(AC156&gt;3,AA156&gt;5,AA156&lt;20),AND(AC156&gt;3,AA156&gt;19)),"Complexo",""))),""))</f>
        <v/>
      </c>
      <c r="AF156" s="45" t="str">
        <f t="shared" ref="AF156:AF172" si="274">IF(Z156="ALI",IF(OR(AND(OR(AC156=1,AC156=0),AA156&gt;0,AA156&lt;20),AND(OR(AC156=1,AC156=0),AA156&gt;19,AA156&lt;51),AND(AC156&gt;1,AC156&lt;6,AA156&gt;0,AA156&lt;20)),"Simples",IF(OR(AND(OR(AC156=1,AC156=0),AA156&gt;50),AND(AC156&gt;1,AC156&lt;6,AA156&gt;19,AA156&lt;51),AND(AC156&gt;5,AA156&gt;0,AA156&lt;20)),"Médio",IF(OR(AND(AC156&gt;1,AC156&lt;6,AA156&gt;50),AND(AC156&gt;5,AA156&gt;19,AA156&lt;51),AND(AC156&gt;5,AA156&gt;50)),"Complexo",""))),
IF(Z156="AIE",IF(OR(AND(OR(AC156=1, AC156=0),AA156&gt;0,AA156&lt;20),AND(OR(AC156=1, AC156=0),AA156&gt;19,AA156&lt;51),AND(AC156&gt;1,AC156&lt;6,AA156&gt;0,AA156&lt;20)),"Simples",IF(OR(AND(OR(AC156=1, AC156=0),AA156&gt;50),AND(AC156&gt;1,AC156&lt;6,AA156&gt;19,AA156&lt;51),AND(AC156&gt;5,AA156&gt;0,AA156&lt;20)),"Médio",IF(OR(AND(AC156&gt;1,AC156&lt;6,AA156&gt;50),AND(AC156&gt;5,AA156&gt;19,AA156&lt;51),AND(AC156&gt;5,AA156&gt;50)),"Complexo",""))),""))</f>
        <v/>
      </c>
      <c r="AG156" s="175" t="str">
        <f t="shared" ref="AG156:AG172" si="275">IF(AE156="",AF156,IF(AF156="",AE156,""))</f>
        <v/>
      </c>
      <c r="AH156" s="176">
        <f t="shared" ref="AH156:AH172" si="276">IF(AND(OR(Z156="EE",Z156="CE"),AG156="Simples"),3,
IF(AND(OR(Z156="EE",Z156="CE"),AG156="Médio"),4,
IF(AND(OR(Z156="EE",Z156="CE"),AG156="Complexo"),6,
IF(AND(Z156="SE",AG156="Simples"),4,
IF(AND(Z156="SE",AG156="Médio"),5,
IF(AND(Z156="SE",AG156="Complexo"),7,0))))))</f>
        <v>0</v>
      </c>
      <c r="AI156" s="176">
        <f t="shared" ref="AI156:AI172" si="277">IF(AND(Z156="ALI",AF156="Simples"),7,
IF(AND(Z156="ALI",AF156="Médio"),10,
IF(AND(Z156="ALI",AF156="Complexo"),15,
IF(AND(Z156="AIE",AF156="Simples"),5,
IF(AND(Z156="AIE",AF156="Médio"),7,
IF(AND(Z156="AIE",AF156="Complexo"),10,0))))))</f>
        <v>0</v>
      </c>
      <c r="AJ156" s="185">
        <f t="shared" ref="AJ156:AJ172" si="278">IF(W156="OK",S156,(
IF(X156&lt;&gt;"Manutenção em interface",IF(X156&lt;&gt;"Desenv., Manutenção e Publicação de Páginas Estáticas",(AH156+AI156)*Y156,Y156),Y156)))</f>
        <v>0</v>
      </c>
      <c r="AK156" s="44"/>
      <c r="AM156" s="44"/>
      <c r="AO156" s="44"/>
      <c r="AP156" s="44" t="str">
        <f t="shared" ref="AP156:AP172" si="279">IF(AJ156=0,"",IF(AJ156=S156,"OK","Divergente"))</f>
        <v/>
      </c>
    </row>
    <row r="157" spans="2:42" s="46" customFormat="1" ht="18.75" customHeight="1">
      <c r="B157" s="226" t="s">
        <v>73</v>
      </c>
      <c r="C157" s="227">
        <f>IF(B157&lt;&gt;"",VLOOKUP(B157,'Tipo Projeto'!$A$3:$B$44,2,0),0)</f>
        <v>1</v>
      </c>
      <c r="D157" s="228"/>
      <c r="E157" s="236" t="s">
        <v>548</v>
      </c>
      <c r="F157" s="393" t="s">
        <v>546</v>
      </c>
      <c r="G157" s="228" t="s">
        <v>79</v>
      </c>
      <c r="H157" s="229"/>
      <c r="I157" s="230">
        <v>2</v>
      </c>
      <c r="J157" s="225" t="s">
        <v>550</v>
      </c>
      <c r="K157" s="231">
        <v>1</v>
      </c>
      <c r="L157" s="237" t="s">
        <v>315</v>
      </c>
      <c r="M157" s="232" t="str">
        <f t="shared" si="266"/>
        <v>Simples</v>
      </c>
      <c r="N157" s="233" t="str">
        <f t="shared" si="267"/>
        <v/>
      </c>
      <c r="O157" s="234" t="str">
        <f t="shared" si="268"/>
        <v>Simples</v>
      </c>
      <c r="P157" s="235">
        <f t="shared" si="269"/>
        <v>3</v>
      </c>
      <c r="Q157" s="235">
        <f t="shared" si="270"/>
        <v>0</v>
      </c>
      <c r="R157" s="234">
        <f t="shared" si="271"/>
        <v>3</v>
      </c>
      <c r="S157" s="234">
        <f t="shared" si="272"/>
        <v>3</v>
      </c>
      <c r="T157" s="236">
        <v>47</v>
      </c>
      <c r="U157" s="236"/>
      <c r="W157" s="184"/>
      <c r="X157" s="56"/>
      <c r="Y157" s="155">
        <f>IF(X157&lt;&gt;"",VLOOKUP(X157,'Tipo Projeto'!$A$3:$B$44,2,0),0)</f>
        <v>0</v>
      </c>
      <c r="Z157" s="44"/>
      <c r="AA157" s="57"/>
      <c r="AB157" s="170"/>
      <c r="AC157" s="174"/>
      <c r="AD157" s="165"/>
      <c r="AE157" s="171" t="str">
        <f t="shared" si="273"/>
        <v/>
      </c>
      <c r="AF157" s="45" t="str">
        <f t="shared" si="274"/>
        <v/>
      </c>
      <c r="AG157" s="175" t="str">
        <f t="shared" si="275"/>
        <v/>
      </c>
      <c r="AH157" s="176">
        <f t="shared" si="276"/>
        <v>0</v>
      </c>
      <c r="AI157" s="176">
        <f t="shared" si="277"/>
        <v>0</v>
      </c>
      <c r="AJ157" s="185">
        <f t="shared" si="278"/>
        <v>0</v>
      </c>
      <c r="AK157" s="44"/>
      <c r="AM157" s="44"/>
      <c r="AO157" s="44"/>
      <c r="AP157" s="44" t="str">
        <f t="shared" si="279"/>
        <v/>
      </c>
    </row>
    <row r="158" spans="2:42" s="46" customFormat="1" ht="18.75" customHeight="1">
      <c r="B158" s="226" t="s">
        <v>73</v>
      </c>
      <c r="C158" s="227">
        <f>IF(B158&lt;&gt;"",VLOOKUP(B158,'Tipo Projeto'!$A$3:$B$44,2,0),0)</f>
        <v>1</v>
      </c>
      <c r="D158" s="228"/>
      <c r="E158" s="236" t="s">
        <v>548</v>
      </c>
      <c r="F158" s="393" t="s">
        <v>547</v>
      </c>
      <c r="G158" s="228" t="s">
        <v>78</v>
      </c>
      <c r="H158" s="229"/>
      <c r="I158" s="230">
        <v>3</v>
      </c>
      <c r="J158" s="225" t="s">
        <v>551</v>
      </c>
      <c r="K158" s="231">
        <v>1</v>
      </c>
      <c r="L158" s="237" t="s">
        <v>315</v>
      </c>
      <c r="M158" s="232" t="str">
        <f t="shared" si="266"/>
        <v>Simples</v>
      </c>
      <c r="N158" s="233" t="str">
        <f t="shared" si="267"/>
        <v/>
      </c>
      <c r="O158" s="234" t="str">
        <f t="shared" si="268"/>
        <v>Simples</v>
      </c>
      <c r="P158" s="235">
        <f t="shared" si="269"/>
        <v>3</v>
      </c>
      <c r="Q158" s="235">
        <f t="shared" si="270"/>
        <v>0</v>
      </c>
      <c r="R158" s="234">
        <f t="shared" si="271"/>
        <v>3</v>
      </c>
      <c r="S158" s="234">
        <f t="shared" si="272"/>
        <v>3</v>
      </c>
      <c r="T158" s="236">
        <v>47</v>
      </c>
      <c r="U158" s="236"/>
      <c r="W158" s="184"/>
      <c r="X158" s="56"/>
      <c r="Y158" s="155">
        <f>IF(X158&lt;&gt;"",VLOOKUP(X158,'Tipo Projeto'!$A$3:$B$44,2,0),0)</f>
        <v>0</v>
      </c>
      <c r="Z158" s="44"/>
      <c r="AA158" s="57"/>
      <c r="AB158" s="170"/>
      <c r="AC158" s="174"/>
      <c r="AD158" s="165"/>
      <c r="AE158" s="171" t="str">
        <f t="shared" si="273"/>
        <v/>
      </c>
      <c r="AF158" s="45" t="str">
        <f t="shared" si="274"/>
        <v/>
      </c>
      <c r="AG158" s="175" t="str">
        <f t="shared" si="275"/>
        <v/>
      </c>
      <c r="AH158" s="176">
        <f t="shared" si="276"/>
        <v>0</v>
      </c>
      <c r="AI158" s="176">
        <f t="shared" si="277"/>
        <v>0</v>
      </c>
      <c r="AJ158" s="185">
        <f t="shared" si="278"/>
        <v>0</v>
      </c>
      <c r="AK158" s="44"/>
      <c r="AM158" s="44"/>
      <c r="AO158" s="44"/>
      <c r="AP158" s="44" t="str">
        <f t="shared" si="279"/>
        <v/>
      </c>
    </row>
    <row r="159" spans="2:42" s="46" customFormat="1" ht="18.75" customHeight="1">
      <c r="B159" s="226"/>
      <c r="C159" s="227">
        <f>IF(B159&lt;&gt;"",VLOOKUP(B159,'Tipo Projeto'!$A$3:$B$44,2,0),0)</f>
        <v>0</v>
      </c>
      <c r="D159" s="228"/>
      <c r="E159" s="236"/>
      <c r="F159" s="393"/>
      <c r="G159" s="228"/>
      <c r="H159" s="229"/>
      <c r="I159" s="230"/>
      <c r="J159" s="225"/>
      <c r="K159" s="231"/>
      <c r="L159" s="237"/>
      <c r="M159" s="232" t="str">
        <f t="shared" si="266"/>
        <v/>
      </c>
      <c r="N159" s="233" t="str">
        <f t="shared" si="267"/>
        <v/>
      </c>
      <c r="O159" s="234" t="str">
        <f t="shared" si="268"/>
        <v/>
      </c>
      <c r="P159" s="235">
        <f t="shared" si="269"/>
        <v>0</v>
      </c>
      <c r="Q159" s="235">
        <f t="shared" si="270"/>
        <v>0</v>
      </c>
      <c r="R159" s="234">
        <f t="shared" si="271"/>
        <v>0</v>
      </c>
      <c r="S159" s="234">
        <f t="shared" si="272"/>
        <v>0</v>
      </c>
      <c r="T159" s="236"/>
      <c r="U159" s="236"/>
      <c r="W159" s="184"/>
      <c r="X159" s="56"/>
      <c r="Y159" s="155">
        <f>IF(X159&lt;&gt;"",VLOOKUP(X159,'Tipo Projeto'!$A$3:$B$44,2,0),0)</f>
        <v>0</v>
      </c>
      <c r="Z159" s="44"/>
      <c r="AA159" s="57"/>
      <c r="AB159" s="170"/>
      <c r="AC159" s="174"/>
      <c r="AD159" s="165"/>
      <c r="AE159" s="171" t="str">
        <f t="shared" si="273"/>
        <v/>
      </c>
      <c r="AF159" s="45" t="str">
        <f t="shared" si="274"/>
        <v/>
      </c>
      <c r="AG159" s="175" t="str">
        <f t="shared" si="275"/>
        <v/>
      </c>
      <c r="AH159" s="176">
        <f t="shared" si="276"/>
        <v>0</v>
      </c>
      <c r="AI159" s="176">
        <f t="shared" si="277"/>
        <v>0</v>
      </c>
      <c r="AJ159" s="185">
        <f t="shared" si="278"/>
        <v>0</v>
      </c>
      <c r="AK159" s="44"/>
      <c r="AM159" s="44"/>
      <c r="AO159" s="44"/>
      <c r="AP159" s="44" t="str">
        <f t="shared" si="279"/>
        <v/>
      </c>
    </row>
    <row r="160" spans="2:42" s="46" customFormat="1" ht="18.75" customHeight="1">
      <c r="B160" s="226" t="s">
        <v>73</v>
      </c>
      <c r="C160" s="227">
        <f>IF(B160&lt;&gt;"",VLOOKUP(B160,'Tipo Projeto'!$A$3:$B$44,2,0),0)</f>
        <v>1</v>
      </c>
      <c r="D160" s="228"/>
      <c r="E160" s="236" t="s">
        <v>556</v>
      </c>
      <c r="F160" s="393" t="s">
        <v>557</v>
      </c>
      <c r="G160" s="228" t="s">
        <v>78</v>
      </c>
      <c r="H160" s="229"/>
      <c r="I160" s="230">
        <v>11</v>
      </c>
      <c r="J160" s="225" t="s">
        <v>559</v>
      </c>
      <c r="K160" s="231"/>
      <c r="L160" s="237" t="s">
        <v>560</v>
      </c>
      <c r="M160" s="232" t="str">
        <f t="shared" si="266"/>
        <v>Simples</v>
      </c>
      <c r="N160" s="233" t="str">
        <f t="shared" si="267"/>
        <v/>
      </c>
      <c r="O160" s="234" t="str">
        <f t="shared" si="268"/>
        <v>Simples</v>
      </c>
      <c r="P160" s="235">
        <f t="shared" si="269"/>
        <v>3</v>
      </c>
      <c r="Q160" s="235">
        <f t="shared" si="270"/>
        <v>0</v>
      </c>
      <c r="R160" s="234">
        <f t="shared" si="271"/>
        <v>3</v>
      </c>
      <c r="S160" s="234">
        <f t="shared" si="272"/>
        <v>3</v>
      </c>
      <c r="T160" s="236">
        <v>51</v>
      </c>
      <c r="U160" s="236"/>
      <c r="W160" s="184"/>
      <c r="X160" s="56"/>
      <c r="Y160" s="155">
        <f>IF(X160&lt;&gt;"",VLOOKUP(X160,'Tipo Projeto'!$A$3:$B$44,2,0),0)</f>
        <v>0</v>
      </c>
      <c r="Z160" s="44"/>
      <c r="AA160" s="57"/>
      <c r="AB160" s="170"/>
      <c r="AC160" s="174"/>
      <c r="AD160" s="165"/>
      <c r="AE160" s="171" t="str">
        <f t="shared" si="273"/>
        <v/>
      </c>
      <c r="AF160" s="45" t="str">
        <f t="shared" si="274"/>
        <v/>
      </c>
      <c r="AG160" s="175" t="str">
        <f t="shared" si="275"/>
        <v/>
      </c>
      <c r="AH160" s="176">
        <f t="shared" si="276"/>
        <v>0</v>
      </c>
      <c r="AI160" s="176">
        <f t="shared" si="277"/>
        <v>0</v>
      </c>
      <c r="AJ160" s="185">
        <f t="shared" si="278"/>
        <v>0</v>
      </c>
      <c r="AK160" s="44"/>
      <c r="AM160" s="44"/>
      <c r="AO160" s="44"/>
      <c r="AP160" s="44" t="str">
        <f t="shared" si="279"/>
        <v/>
      </c>
    </row>
    <row r="161" spans="2:42" s="46" customFormat="1" ht="18.75" customHeight="1">
      <c r="B161" s="226" t="s">
        <v>73</v>
      </c>
      <c r="C161" s="227">
        <f>IF(B161&lt;&gt;"",VLOOKUP(B161,'Tipo Projeto'!$A$3:$B$44,2,0),0)</f>
        <v>1</v>
      </c>
      <c r="D161" s="228"/>
      <c r="E161" s="236" t="s">
        <v>556</v>
      </c>
      <c r="F161" s="393" t="s">
        <v>558</v>
      </c>
      <c r="G161" s="228" t="s">
        <v>79</v>
      </c>
      <c r="H161" s="229"/>
      <c r="I161" s="230">
        <v>10</v>
      </c>
      <c r="J161" s="225" t="s">
        <v>563</v>
      </c>
      <c r="K161" s="231"/>
      <c r="L161" s="237" t="s">
        <v>560</v>
      </c>
      <c r="M161" s="232" t="str">
        <f t="shared" si="266"/>
        <v>Simples</v>
      </c>
      <c r="N161" s="233" t="str">
        <f t="shared" si="267"/>
        <v/>
      </c>
      <c r="O161" s="234" t="str">
        <f t="shared" si="268"/>
        <v>Simples</v>
      </c>
      <c r="P161" s="235">
        <f t="shared" si="269"/>
        <v>3</v>
      </c>
      <c r="Q161" s="235">
        <f t="shared" si="270"/>
        <v>0</v>
      </c>
      <c r="R161" s="234">
        <f t="shared" si="271"/>
        <v>3</v>
      </c>
      <c r="S161" s="234">
        <f t="shared" si="272"/>
        <v>3</v>
      </c>
      <c r="T161" s="236">
        <v>51</v>
      </c>
      <c r="U161" s="236"/>
      <c r="W161" s="184"/>
      <c r="X161" s="56"/>
      <c r="Y161" s="155">
        <f>IF(X161&lt;&gt;"",VLOOKUP(X161,'Tipo Projeto'!$A$3:$B$44,2,0),0)</f>
        <v>0</v>
      </c>
      <c r="Z161" s="44"/>
      <c r="AA161" s="57"/>
      <c r="AB161" s="170"/>
      <c r="AC161" s="174"/>
      <c r="AD161" s="165"/>
      <c r="AE161" s="171" t="str">
        <f t="shared" si="273"/>
        <v/>
      </c>
      <c r="AF161" s="45" t="str">
        <f t="shared" si="274"/>
        <v/>
      </c>
      <c r="AG161" s="175" t="str">
        <f t="shared" si="275"/>
        <v/>
      </c>
      <c r="AH161" s="176">
        <f t="shared" si="276"/>
        <v>0</v>
      </c>
      <c r="AI161" s="176">
        <f t="shared" si="277"/>
        <v>0</v>
      </c>
      <c r="AJ161" s="185">
        <f t="shared" si="278"/>
        <v>0</v>
      </c>
      <c r="AK161" s="44"/>
      <c r="AM161" s="44"/>
      <c r="AO161" s="44"/>
      <c r="AP161" s="44" t="str">
        <f t="shared" si="279"/>
        <v/>
      </c>
    </row>
    <row r="162" spans="2:42" s="46" customFormat="1" ht="18.75" customHeight="1">
      <c r="B162" s="226"/>
      <c r="C162" s="227">
        <f>IF(B162&lt;&gt;"",VLOOKUP(B162,'Tipo Projeto'!$A$3:$B$44,2,0),0)</f>
        <v>0</v>
      </c>
      <c r="D162" s="228"/>
      <c r="E162" s="236"/>
      <c r="F162" s="393"/>
      <c r="G162" s="228"/>
      <c r="H162" s="229"/>
      <c r="I162" s="230"/>
      <c r="J162" s="225"/>
      <c r="K162" s="231"/>
      <c r="L162" s="237"/>
      <c r="M162" s="232" t="str">
        <f t="shared" si="266"/>
        <v/>
      </c>
      <c r="N162" s="233" t="str">
        <f t="shared" si="267"/>
        <v/>
      </c>
      <c r="O162" s="234" t="str">
        <f t="shared" si="268"/>
        <v/>
      </c>
      <c r="P162" s="235">
        <f t="shared" si="269"/>
        <v>0</v>
      </c>
      <c r="Q162" s="235">
        <f t="shared" si="270"/>
        <v>0</v>
      </c>
      <c r="R162" s="234">
        <f t="shared" si="271"/>
        <v>0</v>
      </c>
      <c r="S162" s="234">
        <f t="shared" si="272"/>
        <v>0</v>
      </c>
      <c r="T162" s="236"/>
      <c r="U162" s="236"/>
      <c r="W162" s="184"/>
      <c r="X162" s="56"/>
      <c r="Y162" s="155">
        <f>IF(X162&lt;&gt;"",VLOOKUP(X162,'Tipo Projeto'!$A$3:$B$44,2,0),0)</f>
        <v>0</v>
      </c>
      <c r="Z162" s="44"/>
      <c r="AA162" s="57"/>
      <c r="AB162" s="170"/>
      <c r="AC162" s="174"/>
      <c r="AD162" s="165"/>
      <c r="AE162" s="171" t="str">
        <f t="shared" si="273"/>
        <v/>
      </c>
      <c r="AF162" s="45" t="str">
        <f t="shared" si="274"/>
        <v/>
      </c>
      <c r="AG162" s="175" t="str">
        <f t="shared" si="275"/>
        <v/>
      </c>
      <c r="AH162" s="176">
        <f t="shared" si="276"/>
        <v>0</v>
      </c>
      <c r="AI162" s="176">
        <f t="shared" si="277"/>
        <v>0</v>
      </c>
      <c r="AJ162" s="185">
        <f t="shared" si="278"/>
        <v>0</v>
      </c>
      <c r="AK162" s="44"/>
      <c r="AM162" s="44"/>
      <c r="AO162" s="44"/>
      <c r="AP162" s="44" t="str">
        <f t="shared" si="279"/>
        <v/>
      </c>
    </row>
    <row r="163" spans="2:42" s="46" customFormat="1" ht="18.75" customHeight="1">
      <c r="B163" s="226" t="s">
        <v>73</v>
      </c>
      <c r="C163" s="227">
        <f>IF(B163&lt;&gt;"",VLOOKUP(B163,'Tipo Projeto'!$A$3:$B$44,2,0),0)</f>
        <v>1</v>
      </c>
      <c r="D163" s="228"/>
      <c r="E163" s="236" t="s">
        <v>567</v>
      </c>
      <c r="F163" s="393" t="s">
        <v>564</v>
      </c>
      <c r="G163" s="228" t="s">
        <v>80</v>
      </c>
      <c r="H163" s="229"/>
      <c r="I163" s="230">
        <v>37</v>
      </c>
      <c r="J163" s="225" t="s">
        <v>565</v>
      </c>
      <c r="K163" s="231">
        <v>5</v>
      </c>
      <c r="L163" s="237" t="s">
        <v>566</v>
      </c>
      <c r="M163" s="232" t="str">
        <f t="shared" si="266"/>
        <v>Complexo</v>
      </c>
      <c r="N163" s="233" t="str">
        <f t="shared" si="267"/>
        <v/>
      </c>
      <c r="O163" s="234" t="str">
        <f t="shared" si="268"/>
        <v>Complexo</v>
      </c>
      <c r="P163" s="235">
        <f t="shared" si="269"/>
        <v>7</v>
      </c>
      <c r="Q163" s="235">
        <f t="shared" si="270"/>
        <v>0</v>
      </c>
      <c r="R163" s="234">
        <f t="shared" si="271"/>
        <v>7</v>
      </c>
      <c r="S163" s="234">
        <f t="shared" si="272"/>
        <v>7</v>
      </c>
      <c r="T163" s="236">
        <v>59</v>
      </c>
      <c r="U163" s="236"/>
      <c r="W163" s="184"/>
      <c r="X163" s="56"/>
      <c r="Y163" s="155">
        <f>IF(X163&lt;&gt;"",VLOOKUP(X163,'Tipo Projeto'!$A$3:$B$44,2,0),0)</f>
        <v>0</v>
      </c>
      <c r="Z163" s="44"/>
      <c r="AA163" s="57"/>
      <c r="AB163" s="170"/>
      <c r="AC163" s="174"/>
      <c r="AD163" s="165"/>
      <c r="AE163" s="171" t="str">
        <f t="shared" si="273"/>
        <v/>
      </c>
      <c r="AF163" s="45" t="str">
        <f t="shared" si="274"/>
        <v/>
      </c>
      <c r="AG163" s="175" t="str">
        <f t="shared" si="275"/>
        <v/>
      </c>
      <c r="AH163" s="176">
        <f t="shared" si="276"/>
        <v>0</v>
      </c>
      <c r="AI163" s="176">
        <f t="shared" si="277"/>
        <v>0</v>
      </c>
      <c r="AJ163" s="185">
        <f t="shared" si="278"/>
        <v>0</v>
      </c>
      <c r="AK163" s="44"/>
      <c r="AM163" s="44"/>
      <c r="AO163" s="44"/>
      <c r="AP163" s="44" t="str">
        <f t="shared" si="279"/>
        <v/>
      </c>
    </row>
    <row r="164" spans="2:42" s="46" customFormat="1" ht="18.75" customHeight="1">
      <c r="B164" s="226" t="s">
        <v>73</v>
      </c>
      <c r="C164" s="227">
        <f>IF(B164&lt;&gt;"",VLOOKUP(B164,'Tipo Projeto'!$A$3:$B$44,2,0),0)</f>
        <v>1</v>
      </c>
      <c r="D164" s="228"/>
      <c r="E164" s="236" t="s">
        <v>567</v>
      </c>
      <c r="F164" s="393" t="s">
        <v>568</v>
      </c>
      <c r="G164" s="228" t="s">
        <v>80</v>
      </c>
      <c r="H164" s="229"/>
      <c r="I164" s="230">
        <v>37</v>
      </c>
      <c r="J164" s="225" t="s">
        <v>565</v>
      </c>
      <c r="K164" s="231">
        <v>5</v>
      </c>
      <c r="L164" s="237" t="s">
        <v>566</v>
      </c>
      <c r="M164" s="232" t="str">
        <f t="shared" si="266"/>
        <v>Complexo</v>
      </c>
      <c r="N164" s="233" t="str">
        <f t="shared" si="267"/>
        <v/>
      </c>
      <c r="O164" s="234" t="str">
        <f t="shared" si="268"/>
        <v>Complexo</v>
      </c>
      <c r="P164" s="235">
        <f t="shared" si="269"/>
        <v>7</v>
      </c>
      <c r="Q164" s="235">
        <f t="shared" si="270"/>
        <v>0</v>
      </c>
      <c r="R164" s="234">
        <f t="shared" si="271"/>
        <v>7</v>
      </c>
      <c r="S164" s="234">
        <f t="shared" si="272"/>
        <v>7</v>
      </c>
      <c r="T164" s="236">
        <v>59</v>
      </c>
      <c r="U164" s="236"/>
      <c r="W164" s="184"/>
      <c r="X164" s="56"/>
      <c r="Y164" s="155">
        <f>IF(X164&lt;&gt;"",VLOOKUP(X164,'Tipo Projeto'!$A$3:$B$44,2,0),0)</f>
        <v>0</v>
      </c>
      <c r="Z164" s="44"/>
      <c r="AA164" s="57"/>
      <c r="AB164" s="170"/>
      <c r="AC164" s="174"/>
      <c r="AD164" s="165"/>
      <c r="AE164" s="171" t="str">
        <f t="shared" si="273"/>
        <v/>
      </c>
      <c r="AF164" s="45" t="str">
        <f t="shared" si="274"/>
        <v/>
      </c>
      <c r="AG164" s="175" t="str">
        <f t="shared" si="275"/>
        <v/>
      </c>
      <c r="AH164" s="176">
        <f t="shared" si="276"/>
        <v>0</v>
      </c>
      <c r="AI164" s="176">
        <f t="shared" si="277"/>
        <v>0</v>
      </c>
      <c r="AJ164" s="185">
        <f t="shared" si="278"/>
        <v>0</v>
      </c>
      <c r="AK164" s="44"/>
      <c r="AM164" s="44"/>
      <c r="AO164" s="44"/>
      <c r="AP164" s="44" t="str">
        <f t="shared" si="279"/>
        <v/>
      </c>
    </row>
    <row r="165" spans="2:42" s="46" customFormat="1" ht="18.75" customHeight="1">
      <c r="B165" s="226"/>
      <c r="C165" s="227">
        <f>IF(B165&lt;&gt;"",VLOOKUP(B165,'Tipo Projeto'!$A$3:$B$44,2,0),0)</f>
        <v>0</v>
      </c>
      <c r="D165" s="228"/>
      <c r="E165" s="236"/>
      <c r="F165" s="393"/>
      <c r="G165" s="228"/>
      <c r="H165" s="229"/>
      <c r="I165" s="230"/>
      <c r="J165" s="225"/>
      <c r="K165" s="231"/>
      <c r="L165" s="237"/>
      <c r="M165" s="232" t="str">
        <f t="shared" si="266"/>
        <v/>
      </c>
      <c r="N165" s="233" t="str">
        <f t="shared" si="267"/>
        <v/>
      </c>
      <c r="O165" s="234" t="str">
        <f t="shared" si="268"/>
        <v/>
      </c>
      <c r="P165" s="235">
        <f t="shared" si="269"/>
        <v>0</v>
      </c>
      <c r="Q165" s="235">
        <f t="shared" si="270"/>
        <v>0</v>
      </c>
      <c r="R165" s="234">
        <f t="shared" si="271"/>
        <v>0</v>
      </c>
      <c r="S165" s="234">
        <f t="shared" si="272"/>
        <v>0</v>
      </c>
      <c r="T165" s="236"/>
      <c r="U165" s="236"/>
      <c r="W165" s="184"/>
      <c r="X165" s="56"/>
      <c r="Y165" s="155">
        <f>IF(X165&lt;&gt;"",VLOOKUP(X165,'Tipo Projeto'!$A$3:$B$44,2,0),0)</f>
        <v>0</v>
      </c>
      <c r="Z165" s="44"/>
      <c r="AA165" s="57"/>
      <c r="AB165" s="170"/>
      <c r="AC165" s="174"/>
      <c r="AD165" s="165"/>
      <c r="AE165" s="171" t="str">
        <f t="shared" si="273"/>
        <v/>
      </c>
      <c r="AF165" s="45" t="str">
        <f t="shared" si="274"/>
        <v/>
      </c>
      <c r="AG165" s="175" t="str">
        <f t="shared" si="275"/>
        <v/>
      </c>
      <c r="AH165" s="176">
        <f t="shared" si="276"/>
        <v>0</v>
      </c>
      <c r="AI165" s="176">
        <f t="shared" si="277"/>
        <v>0</v>
      </c>
      <c r="AJ165" s="185">
        <f t="shared" si="278"/>
        <v>0</v>
      </c>
      <c r="AK165" s="44"/>
      <c r="AM165" s="44"/>
      <c r="AO165" s="44"/>
      <c r="AP165" s="44" t="str">
        <f t="shared" si="279"/>
        <v/>
      </c>
    </row>
    <row r="166" spans="2:42" s="46" customFormat="1" ht="18.75" customHeight="1">
      <c r="B166" s="226"/>
      <c r="C166" s="227">
        <f>IF(B166&lt;&gt;"",VLOOKUP(B166,'Tipo Projeto'!$A$3:$B$44,2,0),0)</f>
        <v>0</v>
      </c>
      <c r="D166" s="228"/>
      <c r="E166" s="236"/>
      <c r="F166" s="233"/>
      <c r="G166" s="228"/>
      <c r="H166" s="229"/>
      <c r="I166" s="230"/>
      <c r="J166" s="225"/>
      <c r="K166" s="231"/>
      <c r="L166" s="237"/>
      <c r="M166" s="232" t="str">
        <f t="shared" si="266"/>
        <v/>
      </c>
      <c r="N166" s="233" t="str">
        <f t="shared" si="267"/>
        <v/>
      </c>
      <c r="O166" s="234" t="str">
        <f t="shared" si="268"/>
        <v/>
      </c>
      <c r="P166" s="235">
        <f t="shared" si="269"/>
        <v>0</v>
      </c>
      <c r="Q166" s="235">
        <f t="shared" si="270"/>
        <v>0</v>
      </c>
      <c r="R166" s="234">
        <f t="shared" si="271"/>
        <v>0</v>
      </c>
      <c r="S166" s="234">
        <f t="shared" si="272"/>
        <v>0</v>
      </c>
      <c r="T166" s="236"/>
      <c r="U166" s="236"/>
      <c r="W166" s="184"/>
      <c r="X166" s="56"/>
      <c r="Y166" s="155">
        <f>IF(X166&lt;&gt;"",VLOOKUP(X166,'Tipo Projeto'!$A$3:$B$44,2,0),0)</f>
        <v>0</v>
      </c>
      <c r="Z166" s="44"/>
      <c r="AA166" s="57"/>
      <c r="AB166" s="170"/>
      <c r="AC166" s="174"/>
      <c r="AD166" s="165"/>
      <c r="AE166" s="171" t="str">
        <f t="shared" si="273"/>
        <v/>
      </c>
      <c r="AF166" s="45" t="str">
        <f t="shared" si="274"/>
        <v/>
      </c>
      <c r="AG166" s="175" t="str">
        <f t="shared" si="275"/>
        <v/>
      </c>
      <c r="AH166" s="176">
        <f t="shared" si="276"/>
        <v>0</v>
      </c>
      <c r="AI166" s="176">
        <f t="shared" si="277"/>
        <v>0</v>
      </c>
      <c r="AJ166" s="185">
        <f t="shared" si="278"/>
        <v>0</v>
      </c>
      <c r="AK166" s="44"/>
      <c r="AM166" s="44"/>
      <c r="AO166" s="44"/>
      <c r="AP166" s="44" t="str">
        <f t="shared" si="279"/>
        <v/>
      </c>
    </row>
    <row r="167" spans="2:42" s="46" customFormat="1" ht="18.75" customHeight="1">
      <c r="B167" s="226"/>
      <c r="C167" s="227">
        <f>IF(B167&lt;&gt;"",VLOOKUP(B167,'Tipo Projeto'!$A$3:$B$44,2,0),0)</f>
        <v>0</v>
      </c>
      <c r="D167" s="228"/>
      <c r="E167" s="236"/>
      <c r="F167" s="233"/>
      <c r="G167" s="228"/>
      <c r="H167" s="229"/>
      <c r="I167" s="230"/>
      <c r="J167" s="225"/>
      <c r="K167" s="231"/>
      <c r="L167" s="237"/>
      <c r="M167" s="232" t="str">
        <f t="shared" si="266"/>
        <v/>
      </c>
      <c r="N167" s="233" t="str">
        <f t="shared" si="267"/>
        <v/>
      </c>
      <c r="O167" s="234" t="str">
        <f t="shared" si="268"/>
        <v/>
      </c>
      <c r="P167" s="235">
        <f t="shared" si="269"/>
        <v>0</v>
      </c>
      <c r="Q167" s="235">
        <f t="shared" si="270"/>
        <v>0</v>
      </c>
      <c r="R167" s="234">
        <f t="shared" si="271"/>
        <v>0</v>
      </c>
      <c r="S167" s="234">
        <f t="shared" si="272"/>
        <v>0</v>
      </c>
      <c r="T167" s="236"/>
      <c r="U167" s="236"/>
      <c r="W167" s="184"/>
      <c r="X167" s="56"/>
      <c r="Y167" s="155">
        <f>IF(X167&lt;&gt;"",VLOOKUP(X167,'Tipo Projeto'!$A$3:$B$44,2,0),0)</f>
        <v>0</v>
      </c>
      <c r="Z167" s="44"/>
      <c r="AA167" s="57"/>
      <c r="AB167" s="170"/>
      <c r="AC167" s="174"/>
      <c r="AD167" s="165"/>
      <c r="AE167" s="171" t="str">
        <f t="shared" si="273"/>
        <v/>
      </c>
      <c r="AF167" s="45" t="str">
        <f t="shared" si="274"/>
        <v/>
      </c>
      <c r="AG167" s="175" t="str">
        <f t="shared" si="275"/>
        <v/>
      </c>
      <c r="AH167" s="176">
        <f t="shared" si="276"/>
        <v>0</v>
      </c>
      <c r="AI167" s="176">
        <f t="shared" si="277"/>
        <v>0</v>
      </c>
      <c r="AJ167" s="185">
        <f t="shared" si="278"/>
        <v>0</v>
      </c>
      <c r="AK167" s="44"/>
      <c r="AM167" s="44"/>
      <c r="AO167" s="44"/>
      <c r="AP167" s="44" t="str">
        <f t="shared" si="279"/>
        <v/>
      </c>
    </row>
    <row r="168" spans="2:42" s="46" customFormat="1" ht="18.75" customHeight="1">
      <c r="B168" s="226"/>
      <c r="C168" s="227">
        <f>IF(B168&lt;&gt;"",VLOOKUP(B168,'Tipo Projeto'!$A$3:$B$44,2,0),0)</f>
        <v>0</v>
      </c>
      <c r="D168" s="228"/>
      <c r="E168" s="236"/>
      <c r="F168" s="233"/>
      <c r="G168" s="228"/>
      <c r="H168" s="229"/>
      <c r="I168" s="230"/>
      <c r="J168" s="225"/>
      <c r="K168" s="231"/>
      <c r="L168" s="237"/>
      <c r="M168" s="232" t="str">
        <f t="shared" si="266"/>
        <v/>
      </c>
      <c r="N168" s="233" t="str">
        <f t="shared" si="267"/>
        <v/>
      </c>
      <c r="O168" s="234" t="str">
        <f t="shared" si="268"/>
        <v/>
      </c>
      <c r="P168" s="235">
        <f t="shared" si="269"/>
        <v>0</v>
      </c>
      <c r="Q168" s="235">
        <f t="shared" si="270"/>
        <v>0</v>
      </c>
      <c r="R168" s="234">
        <f t="shared" si="271"/>
        <v>0</v>
      </c>
      <c r="S168" s="234">
        <f t="shared" si="272"/>
        <v>0</v>
      </c>
      <c r="T168" s="236"/>
      <c r="U168" s="236"/>
      <c r="W168" s="184"/>
      <c r="X168" s="56"/>
      <c r="Y168" s="155">
        <f>IF(X168&lt;&gt;"",VLOOKUP(X168,'Tipo Projeto'!$A$3:$B$44,2,0),0)</f>
        <v>0</v>
      </c>
      <c r="Z168" s="44"/>
      <c r="AA168" s="57"/>
      <c r="AB168" s="170"/>
      <c r="AC168" s="174"/>
      <c r="AD168" s="165"/>
      <c r="AE168" s="171" t="str">
        <f t="shared" si="273"/>
        <v/>
      </c>
      <c r="AF168" s="45" t="str">
        <f t="shared" si="274"/>
        <v/>
      </c>
      <c r="AG168" s="175" t="str">
        <f t="shared" si="275"/>
        <v/>
      </c>
      <c r="AH168" s="176">
        <f t="shared" si="276"/>
        <v>0</v>
      </c>
      <c r="AI168" s="176">
        <f t="shared" si="277"/>
        <v>0</v>
      </c>
      <c r="AJ168" s="185">
        <f t="shared" si="278"/>
        <v>0</v>
      </c>
      <c r="AK168" s="44"/>
      <c r="AM168" s="44"/>
      <c r="AO168" s="44"/>
      <c r="AP168" s="44" t="str">
        <f t="shared" si="279"/>
        <v/>
      </c>
    </row>
    <row r="169" spans="2:42" s="46" customFormat="1" ht="18.75" customHeight="1">
      <c r="B169" s="226"/>
      <c r="C169" s="227">
        <f>IF(B169&lt;&gt;"",VLOOKUP(B169,'Tipo Projeto'!$A$3:$B$44,2,0),0)</f>
        <v>0</v>
      </c>
      <c r="D169" s="228"/>
      <c r="E169" s="236"/>
      <c r="F169" s="233"/>
      <c r="G169" s="228"/>
      <c r="H169" s="229"/>
      <c r="I169" s="230"/>
      <c r="J169" s="225"/>
      <c r="K169" s="231"/>
      <c r="L169" s="237"/>
      <c r="M169" s="232" t="str">
        <f t="shared" si="266"/>
        <v/>
      </c>
      <c r="N169" s="233" t="str">
        <f t="shared" si="267"/>
        <v/>
      </c>
      <c r="O169" s="234" t="str">
        <f t="shared" si="268"/>
        <v/>
      </c>
      <c r="P169" s="235">
        <f t="shared" si="269"/>
        <v>0</v>
      </c>
      <c r="Q169" s="235">
        <f t="shared" si="270"/>
        <v>0</v>
      </c>
      <c r="R169" s="234">
        <f t="shared" si="271"/>
        <v>0</v>
      </c>
      <c r="S169" s="234">
        <f t="shared" si="272"/>
        <v>0</v>
      </c>
      <c r="T169" s="236"/>
      <c r="U169" s="236"/>
      <c r="W169" s="184"/>
      <c r="X169" s="56"/>
      <c r="Y169" s="155">
        <f>IF(X169&lt;&gt;"",VLOOKUP(X169,'Tipo Projeto'!$A$3:$B$44,2,0),0)</f>
        <v>0</v>
      </c>
      <c r="Z169" s="44"/>
      <c r="AA169" s="57"/>
      <c r="AB169" s="170"/>
      <c r="AC169" s="174"/>
      <c r="AD169" s="165"/>
      <c r="AE169" s="171" t="str">
        <f t="shared" si="273"/>
        <v/>
      </c>
      <c r="AF169" s="45" t="str">
        <f t="shared" si="274"/>
        <v/>
      </c>
      <c r="AG169" s="175" t="str">
        <f t="shared" si="275"/>
        <v/>
      </c>
      <c r="AH169" s="176">
        <f t="shared" si="276"/>
        <v>0</v>
      </c>
      <c r="AI169" s="176">
        <f t="shared" si="277"/>
        <v>0</v>
      </c>
      <c r="AJ169" s="185">
        <f t="shared" si="278"/>
        <v>0</v>
      </c>
      <c r="AK169" s="44"/>
      <c r="AM169" s="44"/>
      <c r="AO169" s="44"/>
      <c r="AP169" s="44" t="str">
        <f t="shared" si="279"/>
        <v/>
      </c>
    </row>
    <row r="170" spans="2:42" s="46" customFormat="1" ht="18.75" customHeight="1">
      <c r="B170" s="226"/>
      <c r="C170" s="227">
        <f>IF(B170&lt;&gt;"",VLOOKUP(B170,'Tipo Projeto'!$A$3:$B$44,2,0),0)</f>
        <v>0</v>
      </c>
      <c r="D170" s="228"/>
      <c r="E170" s="236"/>
      <c r="F170" s="233"/>
      <c r="G170" s="228"/>
      <c r="H170" s="229"/>
      <c r="I170" s="230"/>
      <c r="J170" s="225"/>
      <c r="K170" s="231"/>
      <c r="L170" s="237"/>
      <c r="M170" s="232" t="str">
        <f t="shared" si="266"/>
        <v/>
      </c>
      <c r="N170" s="233" t="str">
        <f t="shared" si="267"/>
        <v/>
      </c>
      <c r="O170" s="234" t="str">
        <f t="shared" si="268"/>
        <v/>
      </c>
      <c r="P170" s="235">
        <f t="shared" si="269"/>
        <v>0</v>
      </c>
      <c r="Q170" s="235">
        <f t="shared" si="270"/>
        <v>0</v>
      </c>
      <c r="R170" s="234">
        <f t="shared" si="271"/>
        <v>0</v>
      </c>
      <c r="S170" s="234">
        <f t="shared" si="272"/>
        <v>0</v>
      </c>
      <c r="T170" s="236"/>
      <c r="U170" s="236"/>
      <c r="W170" s="184"/>
      <c r="X170" s="56"/>
      <c r="Y170" s="155">
        <f>IF(X170&lt;&gt;"",VLOOKUP(X170,'Tipo Projeto'!$A$3:$B$44,2,0),0)</f>
        <v>0</v>
      </c>
      <c r="Z170" s="44"/>
      <c r="AA170" s="57"/>
      <c r="AB170" s="170"/>
      <c r="AC170" s="174"/>
      <c r="AD170" s="165"/>
      <c r="AE170" s="171" t="str">
        <f t="shared" si="273"/>
        <v/>
      </c>
      <c r="AF170" s="45" t="str">
        <f t="shared" si="274"/>
        <v/>
      </c>
      <c r="AG170" s="175" t="str">
        <f t="shared" si="275"/>
        <v/>
      </c>
      <c r="AH170" s="176">
        <f t="shared" si="276"/>
        <v>0</v>
      </c>
      <c r="AI170" s="176">
        <f t="shared" si="277"/>
        <v>0</v>
      </c>
      <c r="AJ170" s="185">
        <f t="shared" si="278"/>
        <v>0</v>
      </c>
      <c r="AK170" s="44"/>
      <c r="AM170" s="44"/>
      <c r="AO170" s="44"/>
      <c r="AP170" s="44" t="str">
        <f t="shared" si="279"/>
        <v/>
      </c>
    </row>
    <row r="171" spans="2:42" s="46" customFormat="1" ht="18.75" customHeight="1">
      <c r="B171" s="226"/>
      <c r="C171" s="227">
        <f>IF(B171&lt;&gt;"",VLOOKUP(B171,'Tipo Projeto'!$A$3:$B$44,2,0),0)</f>
        <v>0</v>
      </c>
      <c r="D171" s="228"/>
      <c r="E171" s="236"/>
      <c r="F171" s="233"/>
      <c r="G171" s="228"/>
      <c r="H171" s="229"/>
      <c r="I171" s="230"/>
      <c r="J171" s="225"/>
      <c r="K171" s="231"/>
      <c r="L171" s="237"/>
      <c r="M171" s="232" t="str">
        <f t="shared" si="266"/>
        <v/>
      </c>
      <c r="N171" s="233" t="str">
        <f t="shared" si="267"/>
        <v/>
      </c>
      <c r="O171" s="234" t="str">
        <f t="shared" si="268"/>
        <v/>
      </c>
      <c r="P171" s="235">
        <f t="shared" si="269"/>
        <v>0</v>
      </c>
      <c r="Q171" s="235">
        <f t="shared" si="270"/>
        <v>0</v>
      </c>
      <c r="R171" s="234">
        <f t="shared" si="271"/>
        <v>0</v>
      </c>
      <c r="S171" s="234">
        <f t="shared" si="272"/>
        <v>0</v>
      </c>
      <c r="T171" s="236"/>
      <c r="U171" s="236"/>
      <c r="W171" s="184"/>
      <c r="X171" s="56"/>
      <c r="Y171" s="155">
        <f>IF(X171&lt;&gt;"",VLOOKUP(X171,'Tipo Projeto'!$A$3:$B$44,2,0),0)</f>
        <v>0</v>
      </c>
      <c r="Z171" s="44"/>
      <c r="AA171" s="57"/>
      <c r="AB171" s="170"/>
      <c r="AC171" s="174"/>
      <c r="AD171" s="165"/>
      <c r="AE171" s="171" t="str">
        <f t="shared" si="273"/>
        <v/>
      </c>
      <c r="AF171" s="45" t="str">
        <f t="shared" si="274"/>
        <v/>
      </c>
      <c r="AG171" s="175" t="str">
        <f t="shared" si="275"/>
        <v/>
      </c>
      <c r="AH171" s="176">
        <f t="shared" si="276"/>
        <v>0</v>
      </c>
      <c r="AI171" s="176">
        <f t="shared" si="277"/>
        <v>0</v>
      </c>
      <c r="AJ171" s="185">
        <f t="shared" si="278"/>
        <v>0</v>
      </c>
      <c r="AK171" s="44"/>
      <c r="AM171" s="44"/>
      <c r="AO171" s="44"/>
      <c r="AP171" s="44" t="str">
        <f t="shared" si="279"/>
        <v/>
      </c>
    </row>
    <row r="172" spans="2:42" s="46" customFormat="1" ht="18.75" customHeight="1">
      <c r="B172" s="226"/>
      <c r="C172" s="227">
        <f>IF(B172&lt;&gt;"",VLOOKUP(B172,'Tipo Projeto'!$A$3:$B$44,2,0),0)</f>
        <v>0</v>
      </c>
      <c r="D172" s="228"/>
      <c r="E172" s="236"/>
      <c r="F172" s="233"/>
      <c r="G172" s="228"/>
      <c r="H172" s="229"/>
      <c r="I172" s="230"/>
      <c r="J172" s="225"/>
      <c r="K172" s="231"/>
      <c r="L172" s="237"/>
      <c r="M172" s="232" t="str">
        <f t="shared" si="266"/>
        <v/>
      </c>
      <c r="N172" s="233" t="str">
        <f t="shared" si="267"/>
        <v/>
      </c>
      <c r="O172" s="234" t="str">
        <f t="shared" si="268"/>
        <v/>
      </c>
      <c r="P172" s="235">
        <f t="shared" si="269"/>
        <v>0</v>
      </c>
      <c r="Q172" s="235">
        <f t="shared" si="270"/>
        <v>0</v>
      </c>
      <c r="R172" s="234">
        <f t="shared" si="271"/>
        <v>0</v>
      </c>
      <c r="S172" s="234">
        <f t="shared" si="272"/>
        <v>0</v>
      </c>
      <c r="T172" s="236"/>
      <c r="U172" s="236"/>
      <c r="W172" s="184"/>
      <c r="X172" s="56"/>
      <c r="Y172" s="155">
        <f>IF(X172&lt;&gt;"",VLOOKUP(X172,'Tipo Projeto'!$A$3:$B$44,2,0),0)</f>
        <v>0</v>
      </c>
      <c r="Z172" s="44"/>
      <c r="AA172" s="57"/>
      <c r="AB172" s="170"/>
      <c r="AC172" s="174"/>
      <c r="AD172" s="165"/>
      <c r="AE172" s="171" t="str">
        <f t="shared" si="273"/>
        <v/>
      </c>
      <c r="AF172" s="45" t="str">
        <f t="shared" si="274"/>
        <v/>
      </c>
      <c r="AG172" s="175" t="str">
        <f t="shared" si="275"/>
        <v/>
      </c>
      <c r="AH172" s="176">
        <f t="shared" si="276"/>
        <v>0</v>
      </c>
      <c r="AI172" s="176">
        <f t="shared" si="277"/>
        <v>0</v>
      </c>
      <c r="AJ172" s="185">
        <f t="shared" si="278"/>
        <v>0</v>
      </c>
      <c r="AK172" s="44"/>
      <c r="AM172" s="44"/>
      <c r="AO172" s="44"/>
      <c r="AP172" s="44" t="str">
        <f t="shared" si="279"/>
        <v/>
      </c>
    </row>
    <row r="173" spans="2:42" s="46" customFormat="1" ht="18.75" customHeight="1">
      <c r="B173" s="226" t="s">
        <v>73</v>
      </c>
      <c r="C173" s="227">
        <f>IF(B173&lt;&gt;"",VLOOKUP(B173,'Tipo Projeto'!$A$3:$B$44,2,0),0)</f>
        <v>1</v>
      </c>
      <c r="D173" s="228" t="s">
        <v>425</v>
      </c>
      <c r="E173" s="236"/>
      <c r="F173" s="233" t="s">
        <v>426</v>
      </c>
      <c r="G173" s="228" t="s">
        <v>80</v>
      </c>
      <c r="H173" s="229"/>
      <c r="I173" s="230">
        <v>12</v>
      </c>
      <c r="J173" s="225" t="s">
        <v>427</v>
      </c>
      <c r="K173" s="231">
        <v>4</v>
      </c>
      <c r="L173" s="237" t="s">
        <v>428</v>
      </c>
      <c r="M173" s="232" t="str">
        <f t="shared" ref="M173:M174" si="280">IF(G173="EE",IF(OR(AND(OR(K173=1,K173=0),I173&gt;0,I173&lt;5),AND(OR(K173=1,K173=0),I173&gt;4,I173&lt;16),AND(K173=2,I173&gt;0,I173&lt;5)),"Simples",IF(OR(AND(OR(K173=1,K173=0),I173&gt;15),AND(K173=2,I173&gt;4,I173&lt;16),AND(K173&gt;2,I173&gt;0,I173&lt;5)),"Médio",IF(OR(AND(K173=2,I173&gt;15),AND(K173&gt;2,I173&gt;4,I173&lt;16),AND(K173&gt;2,I173&gt;15)),"Complexo",""))),
IF(OR(G173="CE",G173="SE"),IF(OR(AND(OR(K173=1,K173=0),I173&gt;0,I173&lt;6),AND(OR(K173=1,K173=0),I173&gt;5,I173&lt;20),AND(K173&gt;1,K173&lt;4,I173&gt;0,I173&lt;6)),"Simples",IF(OR(AND(OR(K173=1,K173=0),I173&gt;19),AND(K173&gt;1,K173&lt;4,I173&gt;5,I173&lt;20),AND(K173&gt;3,I173&gt;0,I173&lt;6)),"Médio",IF(OR(AND(K173&gt;1,K173&lt;4,I173&gt;19),AND(K173&gt;3,I173&gt;5,I173&lt;20),AND(K173&gt;3,I173&gt;19)),"Complexo",""))),""))</f>
        <v>Complexo</v>
      </c>
      <c r="N173" s="233" t="str">
        <f t="shared" ref="N173:N174" si="281">IF(G173="ALI",IF(OR(AND(OR(K173=1,K173=0),I173&gt;0,I173&lt;20),AND(OR(K173=1,K173=0),I173&gt;19,I173&lt;51),AND(K173&gt;1,K173&lt;6,I173&gt;0,I173&lt;20)),"Simples",IF(OR(AND(OR(K173=1,K173=0),I173&gt;50),AND(K173&gt;1,K173&lt;6,I173&gt;19,I173&lt;51),AND(K173&gt;5,I173&gt;0,I173&lt;20)),"Médio",IF(OR(AND(K173&gt;1,K173&lt;6,I173&gt;50),AND(K173&gt;5,I173&gt;19,I173&lt;51),AND(K173&gt;5,I173&gt;50)),"Complexo",""))),
IF(G173="AIE",IF(OR(AND(OR(K173=1, K173=0),I173&gt;0,I173&lt;20),AND(OR(K173=1, K173=0),I173&gt;19,I173&lt;51),AND(K173&gt;1,K173&lt;6,I173&gt;0,I173&lt;20)),"Simples",IF(OR(AND(OR(K173=1, K173=0),I173&gt;50),AND(K173&gt;1,K173&lt;6,I173&gt;19,I173&lt;51),AND(K173&gt;5,I173&gt;0,I173&lt;20)),"Médio",IF(OR(AND(K173&gt;1,K173&lt;6,I173&gt;50),AND(K173&gt;5,I173&gt;19,I173&lt;51),AND(K173&gt;5,I173&gt;50)),"Complexo",""))),""))</f>
        <v/>
      </c>
      <c r="O173" s="234" t="str">
        <f t="shared" ref="O173:O174" si="282">IF(M173="",N173,IF(N173="",M173,""))</f>
        <v>Complexo</v>
      </c>
      <c r="P173" s="235">
        <f t="shared" ref="P173:P174" si="283">IF(AND(OR(G173="EE",G173="CE"),O173="Simples"),3,
IF(AND(OR(G173="EE",G173="CE"),O173="Médio"),4,
IF(AND(OR(G173="EE",G173="CE"),O173="Complexo"),6,
IF(AND(G173="SE",O173="Simples"),4,
IF(AND(G173="SE",O173="Médio"),5,
IF(AND(G173="SE",O173="Complexo"),7,0))))))</f>
        <v>7</v>
      </c>
      <c r="Q173" s="235">
        <f t="shared" ref="Q173:Q174" si="284">IF(AND(G173="ALI",N173="Simples"),7,
IF(AND(G173="ALI",N173="Médio"),10,
IF(AND(G173="ALI",N173="Complexo"),15,
IF(AND(G173="AIE",N173="Simples"),5,
IF(AND(G173="AIE",N173="Médio"),7,
IF(AND(G173="AIE",N173="Complexo"),10,0))))))</f>
        <v>0</v>
      </c>
      <c r="R173" s="234">
        <f t="shared" ref="R173:R174" si="285">IF(G173="INM",C173*H173,IF(AND(OR(G173="EE",G173="CE"),O173="Simples"),3,
IF(AND(OR(G173="EE",G173="CE"),O173="Médio"),4,
IF(AND(OR(G173="EE",G173="CE"),O173="Complexo"),6,
IF(AND(G173="SE",O173="Simples"),4,
IF(AND(G173="SE",O173="Médio"),5,
IF(AND(G173="SE",O173="Complexo"),7,
IF(AND(G173="ALI",O173="Médio"),10,
IF(AND(G173="ALI",O173="Simples"),7,
IF(AND(G173="ALI",O173="Complexo"),15,
IF(AND(G173="AIE",O173="Simples"),5,
IF(AND(G173="AIE",O173="Médio"),7,
IF(AND(G173="AIE",O173="Complexo"),10,0))
)))))))))))</f>
        <v>7</v>
      </c>
      <c r="S173" s="234">
        <f t="shared" ref="S173:S174" si="286">IF(G173="INM",C173*H173,IF(B173&lt;&gt;"Manutenção em interface",IF(B173&lt;&gt;"Desenv., Manutenção e Publicação de Páginas Estáticas",(P173+Q173)*C173,C173),C173))</f>
        <v>7</v>
      </c>
      <c r="T173" s="236">
        <v>23</v>
      </c>
      <c r="U173" s="236"/>
      <c r="W173" s="184"/>
      <c r="X173" s="56"/>
      <c r="Y173" s="155">
        <f>IF(X173&lt;&gt;"",VLOOKUP(X173,'Tipo Projeto'!$A$3:$B$44,2,0),0)</f>
        <v>0</v>
      </c>
      <c r="Z173" s="44"/>
      <c r="AA173" s="57"/>
      <c r="AB173" s="170"/>
      <c r="AC173" s="174"/>
      <c r="AD173" s="165"/>
      <c r="AE173" s="171" t="str">
        <f t="shared" ref="AE173:AE174" si="287">IF(Z173="EE",IF(OR(AND(OR(AC173=1,AC173=0),AA173&gt;0,AA173&lt;5),AND(OR(AC173=1,AC173=0),AA173&gt;4,AA173&lt;16),AND(AC173=2,AA173&gt;0,AA173&lt;5)),"Simples",IF(OR(AND(OR(AC173=1,AC173=0),AA173&gt;15),AND(AC173=2,AA173&gt;4,AA173&lt;16),AND(AC173&gt;2,AA173&gt;0,AA173&lt;5)),"Médio",IF(OR(AND(AC173=2,AA173&gt;15),AND(AC173&gt;2,AA173&gt;4,AA173&lt;16),AND(AC173&gt;2,AA173&gt;15)),"Complexo",""))),
IF(OR(Z173="CE",Z173="SE"),IF(OR(AND(OR(AC173=1,AC173=0),AA173&gt;0,AA173&lt;6),AND(OR(AC173=1,AC173=0),AA173&gt;5,AA173&lt;20),AND(AC173&gt;1,AC173&lt;4,AA173&gt;0,AA173&lt;6)),"Simples",IF(OR(AND(OR(AC173=1,AC173=0),AA173&gt;19),AND(AC173&gt;1,AC173&lt;4,AA173&gt;5,AA173&lt;20),AND(AC173&gt;3,AA173&gt;0,AA173&lt;6)),"Médio",IF(OR(AND(AC173&gt;1,AC173&lt;4,AA173&gt;19),AND(AC173&gt;3,AA173&gt;5,AA173&lt;20),AND(AC173&gt;3,AA173&gt;19)),"Complexo",""))),""))</f>
        <v/>
      </c>
      <c r="AF173" s="45" t="str">
        <f t="shared" ref="AF173:AF174" si="288">IF(Z173="ALI",IF(OR(AND(OR(AC173=1,AC173=0),AA173&gt;0,AA173&lt;20),AND(OR(AC173=1,AC173=0),AA173&gt;19,AA173&lt;51),AND(AC173&gt;1,AC173&lt;6,AA173&gt;0,AA173&lt;20)),"Simples",IF(OR(AND(OR(AC173=1,AC173=0),AA173&gt;50),AND(AC173&gt;1,AC173&lt;6,AA173&gt;19,AA173&lt;51),AND(AC173&gt;5,AA173&gt;0,AA173&lt;20)),"Médio",IF(OR(AND(AC173&gt;1,AC173&lt;6,AA173&gt;50),AND(AC173&gt;5,AA173&gt;19,AA173&lt;51),AND(AC173&gt;5,AA173&gt;50)),"Complexo",""))),
IF(Z173="AIE",IF(OR(AND(OR(AC173=1, AC173=0),AA173&gt;0,AA173&lt;20),AND(OR(AC173=1, AC173=0),AA173&gt;19,AA173&lt;51),AND(AC173&gt;1,AC173&lt;6,AA173&gt;0,AA173&lt;20)),"Simples",IF(OR(AND(OR(AC173=1, AC173=0),AA173&gt;50),AND(AC173&gt;1,AC173&lt;6,AA173&gt;19,AA173&lt;51),AND(AC173&gt;5,AA173&gt;0,AA173&lt;20)),"Médio",IF(OR(AND(AC173&gt;1,AC173&lt;6,AA173&gt;50),AND(AC173&gt;5,AA173&gt;19,AA173&lt;51),AND(AC173&gt;5,AA173&gt;50)),"Complexo",""))),""))</f>
        <v/>
      </c>
      <c r="AG173" s="175" t="str">
        <f t="shared" ref="AG173:AG174" si="289">IF(AE173="",AF173,IF(AF173="",AE173,""))</f>
        <v/>
      </c>
      <c r="AH173" s="176">
        <f t="shared" ref="AH173:AH174" si="290">IF(AND(OR(Z173="EE",Z173="CE"),AG173="Simples"),3,
IF(AND(OR(Z173="EE",Z173="CE"),AG173="Médio"),4,
IF(AND(OR(Z173="EE",Z173="CE"),AG173="Complexo"),6,
IF(AND(Z173="SE",AG173="Simples"),4,
IF(AND(Z173="SE",AG173="Médio"),5,
IF(AND(Z173="SE",AG173="Complexo"),7,0))))))</f>
        <v>0</v>
      </c>
      <c r="AI173" s="176">
        <f t="shared" ref="AI173:AI174" si="291">IF(AND(Z173="ALI",AF173="Simples"),7,
IF(AND(Z173="ALI",AF173="Médio"),10,
IF(AND(Z173="ALI",AF173="Complexo"),15,
IF(AND(Z173="AIE",AF173="Simples"),5,
IF(AND(Z173="AIE",AF173="Médio"),7,
IF(AND(Z173="AIE",AF173="Complexo"),10,0))))))</f>
        <v>0</v>
      </c>
      <c r="AJ173" s="185">
        <f t="shared" ref="AJ173:AJ174" si="292">IF(W173="OK",S173,(
IF(X173&lt;&gt;"Manutenção em interface",IF(X173&lt;&gt;"Desenv., Manutenção e Publicação de Páginas Estáticas",(AH173+AI173)*Y173,Y173),Y173)))</f>
        <v>0</v>
      </c>
      <c r="AK173" s="44"/>
      <c r="AM173" s="44"/>
      <c r="AO173" s="44"/>
      <c r="AP173" s="44" t="str">
        <f t="shared" ref="AP173:AP174" si="293">IF(AJ173=0,"",IF(AJ173=S173,"OK","Divergente"))</f>
        <v/>
      </c>
    </row>
    <row r="174" spans="2:42" s="46" customFormat="1" ht="18.75" customHeight="1">
      <c r="B174" s="226"/>
      <c r="C174" s="227">
        <f>IF(B174&lt;&gt;"",VLOOKUP(B174,'Tipo Projeto'!$A$3:$B$44,2,0),0)</f>
        <v>0</v>
      </c>
      <c r="D174" s="228"/>
      <c r="E174" s="236"/>
      <c r="F174" s="233"/>
      <c r="G174" s="228"/>
      <c r="H174" s="229"/>
      <c r="I174" s="230"/>
      <c r="J174" s="225"/>
      <c r="K174" s="231"/>
      <c r="L174" s="237"/>
      <c r="M174" s="232" t="str">
        <f t="shared" si="280"/>
        <v/>
      </c>
      <c r="N174" s="233" t="str">
        <f t="shared" si="281"/>
        <v/>
      </c>
      <c r="O174" s="234" t="str">
        <f t="shared" si="282"/>
        <v/>
      </c>
      <c r="P174" s="235">
        <f t="shared" si="283"/>
        <v>0</v>
      </c>
      <c r="Q174" s="235">
        <f t="shared" si="284"/>
        <v>0</v>
      </c>
      <c r="R174" s="234">
        <f t="shared" si="285"/>
        <v>0</v>
      </c>
      <c r="S174" s="234">
        <f t="shared" si="286"/>
        <v>0</v>
      </c>
      <c r="T174" s="236"/>
      <c r="U174" s="236"/>
      <c r="W174" s="184"/>
      <c r="X174" s="56"/>
      <c r="Y174" s="155">
        <f>IF(X174&lt;&gt;"",VLOOKUP(X174,'Tipo Projeto'!$A$3:$B$44,2,0),0)</f>
        <v>0</v>
      </c>
      <c r="Z174" s="44"/>
      <c r="AA174" s="57"/>
      <c r="AB174" s="170"/>
      <c r="AC174" s="174"/>
      <c r="AD174" s="165"/>
      <c r="AE174" s="171" t="str">
        <f t="shared" si="287"/>
        <v/>
      </c>
      <c r="AF174" s="45" t="str">
        <f t="shared" si="288"/>
        <v/>
      </c>
      <c r="AG174" s="175" t="str">
        <f t="shared" si="289"/>
        <v/>
      </c>
      <c r="AH174" s="176">
        <f t="shared" si="290"/>
        <v>0</v>
      </c>
      <c r="AI174" s="176">
        <f t="shared" si="291"/>
        <v>0</v>
      </c>
      <c r="AJ174" s="185">
        <f t="shared" si="292"/>
        <v>0</v>
      </c>
      <c r="AK174" s="44"/>
      <c r="AM174" s="44"/>
      <c r="AO174" s="44"/>
      <c r="AP174" s="44" t="str">
        <f t="shared" si="293"/>
        <v/>
      </c>
    </row>
    <row r="175" spans="2:42" s="46" customFormat="1" ht="18.5" customHeight="1">
      <c r="B175" s="226" t="s">
        <v>188</v>
      </c>
      <c r="C175" s="227">
        <f>IF(B175&lt;&gt;"",VLOOKUP(B175,'Tipo Projeto'!$A$3:$B$44,2,0),0)</f>
        <v>0.5</v>
      </c>
      <c r="D175" s="228" t="s">
        <v>355</v>
      </c>
      <c r="E175" s="236"/>
      <c r="F175" s="393" t="s">
        <v>315</v>
      </c>
      <c r="G175" s="228" t="s">
        <v>74</v>
      </c>
      <c r="H175" s="229"/>
      <c r="I175" s="230">
        <v>71</v>
      </c>
      <c r="J175" s="225" t="s">
        <v>561</v>
      </c>
      <c r="K175" s="231">
        <v>9</v>
      </c>
      <c r="L175" s="237" t="s">
        <v>562</v>
      </c>
      <c r="M175" s="232" t="str">
        <f t="shared" si="14"/>
        <v/>
      </c>
      <c r="N175" s="233" t="str">
        <f t="shared" si="15"/>
        <v>Complexo</v>
      </c>
      <c r="O175" s="234" t="str">
        <f t="shared" si="41"/>
        <v>Complexo</v>
      </c>
      <c r="P175" s="235">
        <f t="shared" si="16"/>
        <v>0</v>
      </c>
      <c r="Q175" s="235">
        <f t="shared" si="17"/>
        <v>15</v>
      </c>
      <c r="R175" s="234">
        <f t="shared" si="18"/>
        <v>15</v>
      </c>
      <c r="S175" s="234">
        <f t="shared" si="19"/>
        <v>7.5</v>
      </c>
      <c r="T175" s="236">
        <v>47</v>
      </c>
      <c r="U175" s="236"/>
      <c r="W175" s="184"/>
      <c r="X175" s="56"/>
      <c r="Y175" s="155">
        <f>IF(X175&lt;&gt;"",VLOOKUP(X175,'Tipo Projeto'!$A$3:$B$44,2,0),0)</f>
        <v>0</v>
      </c>
      <c r="Z175" s="44"/>
      <c r="AA175" s="57"/>
      <c r="AB175" s="170"/>
      <c r="AC175" s="174"/>
      <c r="AD175" s="165"/>
      <c r="AE175" s="171" t="str">
        <f t="shared" si="20"/>
        <v/>
      </c>
      <c r="AF175" s="45" t="str">
        <f t="shared" si="21"/>
        <v/>
      </c>
      <c r="AG175" s="175" t="str">
        <f t="shared" si="22"/>
        <v/>
      </c>
      <c r="AH175" s="176">
        <f t="shared" si="23"/>
        <v>0</v>
      </c>
      <c r="AI175" s="176">
        <f t="shared" si="24"/>
        <v>0</v>
      </c>
      <c r="AJ175" s="185">
        <f t="shared" si="25"/>
        <v>0</v>
      </c>
      <c r="AK175" s="44"/>
      <c r="AM175" s="44"/>
      <c r="AO175" s="44"/>
      <c r="AP175" s="44" t="str">
        <f t="shared" si="26"/>
        <v/>
      </c>
    </row>
    <row r="176" spans="2:42" s="46" customFormat="1" ht="18.5" customHeight="1">
      <c r="B176" s="226" t="s">
        <v>73</v>
      </c>
      <c r="C176" s="227">
        <f>IF(B176&lt;&gt;"",VLOOKUP(B176,'Tipo Projeto'!$A$3:$B$44,2,0),0)</f>
        <v>1</v>
      </c>
      <c r="D176" s="228" t="s">
        <v>75</v>
      </c>
      <c r="E176" s="236"/>
      <c r="F176" s="255" t="s">
        <v>75</v>
      </c>
      <c r="G176" s="228" t="s">
        <v>74</v>
      </c>
      <c r="H176" s="229"/>
      <c r="I176" s="230">
        <v>13</v>
      </c>
      <c r="J176" s="225" t="s">
        <v>429</v>
      </c>
      <c r="K176" s="231">
        <v>2</v>
      </c>
      <c r="L176" s="237" t="s">
        <v>430</v>
      </c>
      <c r="M176" s="232" t="str">
        <f t="shared" si="14"/>
        <v/>
      </c>
      <c r="N176" s="233" t="str">
        <f t="shared" si="15"/>
        <v>Simples</v>
      </c>
      <c r="O176" s="234" t="str">
        <f t="shared" si="41"/>
        <v>Simples</v>
      </c>
      <c r="P176" s="235">
        <f t="shared" si="16"/>
        <v>0</v>
      </c>
      <c r="Q176" s="235">
        <f t="shared" si="17"/>
        <v>7</v>
      </c>
      <c r="R176" s="234">
        <f t="shared" si="18"/>
        <v>7</v>
      </c>
      <c r="S176" s="234">
        <f t="shared" si="19"/>
        <v>7</v>
      </c>
      <c r="T176" s="236" t="s">
        <v>357</v>
      </c>
      <c r="U176" s="236"/>
      <c r="W176" s="184"/>
      <c r="X176" s="56"/>
      <c r="Y176" s="155">
        <f>IF(X176&lt;&gt;"",VLOOKUP(X176,'Tipo Projeto'!$A$3:$B$44,2,0),0)</f>
        <v>0</v>
      </c>
      <c r="Z176" s="44"/>
      <c r="AA176" s="57"/>
      <c r="AB176" s="170"/>
      <c r="AC176" s="174"/>
      <c r="AD176" s="165"/>
      <c r="AE176" s="171" t="str">
        <f t="shared" si="20"/>
        <v/>
      </c>
      <c r="AF176" s="45" t="str">
        <f t="shared" si="21"/>
        <v/>
      </c>
      <c r="AG176" s="175" t="str">
        <f t="shared" si="22"/>
        <v/>
      </c>
      <c r="AH176" s="176">
        <f t="shared" si="23"/>
        <v>0</v>
      </c>
      <c r="AI176" s="176">
        <f t="shared" si="24"/>
        <v>0</v>
      </c>
      <c r="AJ176" s="185">
        <f t="shared" si="25"/>
        <v>0</v>
      </c>
      <c r="AK176" s="44"/>
      <c r="AM176" s="44"/>
      <c r="AO176" s="44"/>
      <c r="AP176" s="44" t="str">
        <f t="shared" si="26"/>
        <v/>
      </c>
    </row>
    <row r="177" spans="2:42" s="46" customFormat="1" ht="18.5" customHeight="1">
      <c r="B177" s="226" t="s">
        <v>73</v>
      </c>
      <c r="C177" s="227">
        <f>IF(B177&lt;&gt;"",VLOOKUP(B177,'Tipo Projeto'!$A$3:$B$44,2,0),0)</f>
        <v>1</v>
      </c>
      <c r="D177" s="228" t="s">
        <v>76</v>
      </c>
      <c r="E177" s="236"/>
      <c r="F177" s="255" t="s">
        <v>76</v>
      </c>
      <c r="G177" s="228" t="s">
        <v>74</v>
      </c>
      <c r="H177" s="229"/>
      <c r="I177" s="230">
        <v>19</v>
      </c>
      <c r="J177" s="225" t="s">
        <v>432</v>
      </c>
      <c r="K177" s="231">
        <v>2</v>
      </c>
      <c r="L177" s="237" t="s">
        <v>431</v>
      </c>
      <c r="M177" s="232" t="str">
        <f t="shared" si="14"/>
        <v/>
      </c>
      <c r="N177" s="233" t="str">
        <f t="shared" si="15"/>
        <v>Simples</v>
      </c>
      <c r="O177" s="234" t="str">
        <f t="shared" si="41"/>
        <v>Simples</v>
      </c>
      <c r="P177" s="235">
        <f t="shared" si="16"/>
        <v>0</v>
      </c>
      <c r="Q177" s="235">
        <f t="shared" si="17"/>
        <v>7</v>
      </c>
      <c r="R177" s="234">
        <f t="shared" si="18"/>
        <v>7</v>
      </c>
      <c r="S177" s="234">
        <f t="shared" si="19"/>
        <v>7</v>
      </c>
      <c r="T177" s="236" t="s">
        <v>358</v>
      </c>
      <c r="U177" s="236"/>
      <c r="W177" s="184"/>
      <c r="X177" s="56"/>
      <c r="Y177" s="155">
        <f>IF(X177&lt;&gt;"",VLOOKUP(X177,'Tipo Projeto'!$A$3:$B$44,2,0),0)</f>
        <v>0</v>
      </c>
      <c r="Z177" s="44"/>
      <c r="AA177" s="57"/>
      <c r="AB177" s="170"/>
      <c r="AC177" s="174"/>
      <c r="AD177" s="165"/>
      <c r="AE177" s="171" t="str">
        <f t="shared" si="20"/>
        <v/>
      </c>
      <c r="AF177" s="45" t="str">
        <f t="shared" si="21"/>
        <v/>
      </c>
      <c r="AG177" s="175" t="str">
        <f t="shared" si="22"/>
        <v/>
      </c>
      <c r="AH177" s="176">
        <f t="shared" si="23"/>
        <v>0</v>
      </c>
      <c r="AI177" s="176">
        <f t="shared" si="24"/>
        <v>0</v>
      </c>
      <c r="AJ177" s="185">
        <f t="shared" si="25"/>
        <v>0</v>
      </c>
      <c r="AK177" s="44"/>
      <c r="AM177" s="44"/>
      <c r="AO177" s="44"/>
      <c r="AP177" s="44" t="str">
        <f t="shared" si="26"/>
        <v/>
      </c>
    </row>
    <row r="178" spans="2:42" s="46" customFormat="1" ht="18.5" customHeight="1">
      <c r="B178" s="226" t="s">
        <v>73</v>
      </c>
      <c r="C178" s="227">
        <f>IF(B178&lt;&gt;"",VLOOKUP(B178,'Tipo Projeto'!$A$3:$B$44,2,0),0)</f>
        <v>1</v>
      </c>
      <c r="D178" s="228" t="s">
        <v>354</v>
      </c>
      <c r="E178" s="236"/>
      <c r="F178" s="255" t="s">
        <v>287</v>
      </c>
      <c r="G178" s="228" t="s">
        <v>74</v>
      </c>
      <c r="H178" s="229"/>
      <c r="I178" s="230">
        <v>89</v>
      </c>
      <c r="J178" s="225" t="s">
        <v>433</v>
      </c>
      <c r="K178" s="231">
        <v>12</v>
      </c>
      <c r="L178" s="237" t="s">
        <v>444</v>
      </c>
      <c r="M178" s="232" t="str">
        <f t="shared" si="14"/>
        <v/>
      </c>
      <c r="N178" s="233" t="str">
        <f t="shared" si="15"/>
        <v>Complexo</v>
      </c>
      <c r="O178" s="234" t="str">
        <f t="shared" si="41"/>
        <v>Complexo</v>
      </c>
      <c r="P178" s="235">
        <f t="shared" si="16"/>
        <v>0</v>
      </c>
      <c r="Q178" s="235">
        <f t="shared" si="17"/>
        <v>15</v>
      </c>
      <c r="R178" s="234">
        <f t="shared" si="18"/>
        <v>15</v>
      </c>
      <c r="S178" s="234">
        <f t="shared" si="19"/>
        <v>15</v>
      </c>
      <c r="T178" s="236" t="s">
        <v>361</v>
      </c>
      <c r="U178" s="236"/>
      <c r="W178" s="184"/>
      <c r="X178" s="56"/>
      <c r="Y178" s="155">
        <f>IF(X178&lt;&gt;"",VLOOKUP(X178,'Tipo Projeto'!$A$3:$B$44,2,0),0)</f>
        <v>0</v>
      </c>
      <c r="Z178" s="44"/>
      <c r="AA178" s="57"/>
      <c r="AB178" s="170"/>
      <c r="AC178" s="174"/>
      <c r="AD178" s="165"/>
      <c r="AE178" s="171" t="str">
        <f t="shared" si="20"/>
        <v/>
      </c>
      <c r="AF178" s="45" t="str">
        <f t="shared" si="21"/>
        <v/>
      </c>
      <c r="AG178" s="175" t="str">
        <f t="shared" si="22"/>
        <v/>
      </c>
      <c r="AH178" s="176">
        <f t="shared" si="23"/>
        <v>0</v>
      </c>
      <c r="AI178" s="176">
        <f t="shared" si="24"/>
        <v>0</v>
      </c>
      <c r="AJ178" s="185">
        <f t="shared" si="25"/>
        <v>0</v>
      </c>
      <c r="AK178" s="44"/>
      <c r="AM178" s="44"/>
      <c r="AO178" s="44"/>
      <c r="AP178" s="44" t="str">
        <f t="shared" si="26"/>
        <v/>
      </c>
    </row>
    <row r="179" spans="2:42" s="46" customFormat="1" ht="18.5" customHeight="1">
      <c r="B179" s="226" t="s">
        <v>73</v>
      </c>
      <c r="C179" s="227">
        <f>IF(B179&lt;&gt;"",VLOOKUP(B179,'Tipo Projeto'!$A$3:$B$44,2,0),0)</f>
        <v>1</v>
      </c>
      <c r="D179" s="228" t="s">
        <v>288</v>
      </c>
      <c r="E179" s="236"/>
      <c r="F179" s="255" t="s">
        <v>288</v>
      </c>
      <c r="G179" s="228" t="s">
        <v>74</v>
      </c>
      <c r="H179" s="229"/>
      <c r="I179" s="230">
        <v>14</v>
      </c>
      <c r="J179" s="225" t="s">
        <v>443</v>
      </c>
      <c r="K179" s="231">
        <v>2</v>
      </c>
      <c r="L179" s="237" t="s">
        <v>77</v>
      </c>
      <c r="M179" s="232" t="str">
        <f t="shared" si="14"/>
        <v/>
      </c>
      <c r="N179" s="233" t="str">
        <f t="shared" si="15"/>
        <v>Simples</v>
      </c>
      <c r="O179" s="234" t="str">
        <f t="shared" si="41"/>
        <v>Simples</v>
      </c>
      <c r="P179" s="235">
        <f t="shared" si="16"/>
        <v>0</v>
      </c>
      <c r="Q179" s="235">
        <f t="shared" si="17"/>
        <v>7</v>
      </c>
      <c r="R179" s="234">
        <f t="shared" si="18"/>
        <v>7</v>
      </c>
      <c r="S179" s="234">
        <f t="shared" si="19"/>
        <v>7</v>
      </c>
      <c r="T179" s="236" t="s">
        <v>363</v>
      </c>
      <c r="U179" s="236"/>
      <c r="W179" s="184"/>
      <c r="X179" s="56"/>
      <c r="Y179" s="155">
        <f>IF(X179&lt;&gt;"",VLOOKUP(X179,'Tipo Projeto'!$A$3:$B$44,2,0),0)</f>
        <v>0</v>
      </c>
      <c r="Z179" s="44"/>
      <c r="AA179" s="57"/>
      <c r="AB179" s="170"/>
      <c r="AC179" s="174"/>
      <c r="AD179" s="165"/>
      <c r="AE179" s="171" t="str">
        <f t="shared" si="20"/>
        <v/>
      </c>
      <c r="AF179" s="45" t="str">
        <f t="shared" si="21"/>
        <v/>
      </c>
      <c r="AG179" s="175" t="str">
        <f t="shared" si="22"/>
        <v/>
      </c>
      <c r="AH179" s="176">
        <f t="shared" si="23"/>
        <v>0</v>
      </c>
      <c r="AI179" s="176">
        <f t="shared" si="24"/>
        <v>0</v>
      </c>
      <c r="AJ179" s="185">
        <f t="shared" si="25"/>
        <v>0</v>
      </c>
      <c r="AK179" s="44"/>
      <c r="AM179" s="44"/>
      <c r="AO179" s="44"/>
      <c r="AP179" s="44" t="str">
        <f t="shared" si="26"/>
        <v/>
      </c>
    </row>
    <row r="180" spans="2:42" s="46" customFormat="1" ht="18.5" customHeight="1">
      <c r="B180" s="226" t="s">
        <v>73</v>
      </c>
      <c r="C180" s="227">
        <f>IF(B180&lt;&gt;"",VLOOKUP(B180,'Tipo Projeto'!$A$3:$B$44,2,0),0)</f>
        <v>1</v>
      </c>
      <c r="D180" s="228" t="s">
        <v>237</v>
      </c>
      <c r="E180" s="236"/>
      <c r="F180" s="255" t="s">
        <v>237</v>
      </c>
      <c r="G180" s="228" t="s">
        <v>74</v>
      </c>
      <c r="H180" s="229"/>
      <c r="I180" s="230">
        <v>8</v>
      </c>
      <c r="J180" s="225" t="s">
        <v>415</v>
      </c>
      <c r="K180" s="231">
        <v>3</v>
      </c>
      <c r="L180" s="237" t="s">
        <v>414</v>
      </c>
      <c r="M180" s="232" t="str">
        <f t="shared" si="14"/>
        <v/>
      </c>
      <c r="N180" s="233" t="str">
        <f t="shared" si="15"/>
        <v>Simples</v>
      </c>
      <c r="O180" s="234" t="str">
        <f t="shared" si="41"/>
        <v>Simples</v>
      </c>
      <c r="P180" s="235">
        <f t="shared" si="16"/>
        <v>0</v>
      </c>
      <c r="Q180" s="235">
        <f t="shared" si="17"/>
        <v>7</v>
      </c>
      <c r="R180" s="234">
        <f t="shared" si="18"/>
        <v>7</v>
      </c>
      <c r="S180" s="234">
        <f t="shared" si="19"/>
        <v>7</v>
      </c>
      <c r="T180" s="236">
        <v>20</v>
      </c>
      <c r="U180" s="236"/>
      <c r="W180" s="184"/>
      <c r="X180" s="56"/>
      <c r="Y180" s="155">
        <f>IF(X180&lt;&gt;"",VLOOKUP(X180,'Tipo Projeto'!$A$3:$B$44,2,0),0)</f>
        <v>0</v>
      </c>
      <c r="Z180" s="44"/>
      <c r="AA180" s="57"/>
      <c r="AB180" s="170"/>
      <c r="AC180" s="174"/>
      <c r="AD180" s="165"/>
      <c r="AE180" s="171" t="str">
        <f t="shared" si="20"/>
        <v/>
      </c>
      <c r="AF180" s="45" t="str">
        <f t="shared" si="21"/>
        <v/>
      </c>
      <c r="AG180" s="175" t="str">
        <f t="shared" si="22"/>
        <v/>
      </c>
      <c r="AH180" s="176">
        <f t="shared" si="23"/>
        <v>0</v>
      </c>
      <c r="AI180" s="176">
        <f t="shared" si="24"/>
        <v>0</v>
      </c>
      <c r="AJ180" s="185">
        <f t="shared" si="25"/>
        <v>0</v>
      </c>
      <c r="AK180" s="44"/>
      <c r="AM180" s="44"/>
      <c r="AO180" s="44"/>
      <c r="AP180" s="44" t="str">
        <f t="shared" si="26"/>
        <v/>
      </c>
    </row>
    <row r="181" spans="2:42" s="46" customFormat="1" ht="18.5" customHeight="1">
      <c r="B181" s="226" t="s">
        <v>73</v>
      </c>
      <c r="C181" s="227">
        <f>IF(B181&lt;&gt;"",VLOOKUP(B181,'Tipo Projeto'!$A$3:$B$44,2,0),0)</f>
        <v>1</v>
      </c>
      <c r="D181" s="228"/>
      <c r="E181" s="236"/>
      <c r="F181" s="255" t="s">
        <v>366</v>
      </c>
      <c r="G181" s="228" t="s">
        <v>74</v>
      </c>
      <c r="H181" s="229"/>
      <c r="I181" s="230">
        <v>85</v>
      </c>
      <c r="J181" s="225" t="s">
        <v>529</v>
      </c>
      <c r="K181" s="231">
        <v>11</v>
      </c>
      <c r="L181" s="237" t="s">
        <v>528</v>
      </c>
      <c r="M181" s="232" t="str">
        <f t="shared" si="14"/>
        <v/>
      </c>
      <c r="N181" s="233" t="str">
        <f t="shared" si="15"/>
        <v>Complexo</v>
      </c>
      <c r="O181" s="234" t="str">
        <f t="shared" si="41"/>
        <v>Complexo</v>
      </c>
      <c r="P181" s="235">
        <f t="shared" si="16"/>
        <v>0</v>
      </c>
      <c r="Q181" s="235">
        <f t="shared" si="17"/>
        <v>15</v>
      </c>
      <c r="R181" s="234">
        <f t="shared" si="18"/>
        <v>15</v>
      </c>
      <c r="S181" s="234">
        <f t="shared" si="19"/>
        <v>15</v>
      </c>
      <c r="T181" s="236">
        <v>44</v>
      </c>
      <c r="U181" s="236"/>
      <c r="W181" s="184"/>
      <c r="X181" s="56"/>
      <c r="Y181" s="155">
        <f>IF(X181&lt;&gt;"",VLOOKUP(X181,'Tipo Projeto'!$A$3:$B$44,2,0),0)</f>
        <v>0</v>
      </c>
      <c r="Z181" s="44"/>
      <c r="AA181" s="57"/>
      <c r="AB181" s="170"/>
      <c r="AC181" s="174"/>
      <c r="AD181" s="165"/>
      <c r="AE181" s="171" t="str">
        <f t="shared" si="20"/>
        <v/>
      </c>
      <c r="AF181" s="45" t="str">
        <f t="shared" si="21"/>
        <v/>
      </c>
      <c r="AG181" s="175" t="str">
        <f t="shared" si="22"/>
        <v/>
      </c>
      <c r="AH181" s="176">
        <f t="shared" si="23"/>
        <v>0</v>
      </c>
      <c r="AI181" s="176">
        <f t="shared" si="24"/>
        <v>0</v>
      </c>
      <c r="AJ181" s="185">
        <f t="shared" si="25"/>
        <v>0</v>
      </c>
      <c r="AK181" s="44"/>
      <c r="AM181" s="44"/>
      <c r="AO181" s="44"/>
      <c r="AP181" s="44" t="str">
        <f t="shared" si="26"/>
        <v/>
      </c>
    </row>
    <row r="182" spans="2:42" s="46" customFormat="1" ht="18.5" customHeight="1">
      <c r="B182" s="226" t="s">
        <v>73</v>
      </c>
      <c r="C182" s="227">
        <f>IF(B182&lt;&gt;"",VLOOKUP(B182,'Tipo Projeto'!$A$3:$B$44,2,0),0)</f>
        <v>1</v>
      </c>
      <c r="D182" s="228"/>
      <c r="E182" s="236"/>
      <c r="F182" s="255" t="s">
        <v>434</v>
      </c>
      <c r="G182" s="228" t="s">
        <v>74</v>
      </c>
      <c r="H182" s="229"/>
      <c r="I182" s="230">
        <v>13</v>
      </c>
      <c r="J182" s="225" t="s">
        <v>435</v>
      </c>
      <c r="K182" s="231">
        <v>1</v>
      </c>
      <c r="L182" s="237" t="s">
        <v>436</v>
      </c>
      <c r="M182" s="232" t="str">
        <f t="shared" si="14"/>
        <v/>
      </c>
      <c r="N182" s="233" t="str">
        <f t="shared" si="15"/>
        <v>Simples</v>
      </c>
      <c r="O182" s="234" t="str">
        <f t="shared" si="41"/>
        <v>Simples</v>
      </c>
      <c r="P182" s="235">
        <f t="shared" si="16"/>
        <v>0</v>
      </c>
      <c r="Q182" s="235">
        <f t="shared" si="17"/>
        <v>7</v>
      </c>
      <c r="R182" s="234">
        <f t="shared" si="18"/>
        <v>7</v>
      </c>
      <c r="S182" s="234">
        <f t="shared" si="19"/>
        <v>7</v>
      </c>
      <c r="T182" s="236"/>
      <c r="U182" s="236"/>
      <c r="W182" s="184"/>
      <c r="X182" s="56"/>
      <c r="Y182" s="155">
        <f>IF(X182&lt;&gt;"",VLOOKUP(X182,'Tipo Projeto'!$A$3:$B$44,2,0),0)</f>
        <v>0</v>
      </c>
      <c r="Z182" s="44"/>
      <c r="AA182" s="57"/>
      <c r="AB182" s="170"/>
      <c r="AC182" s="174"/>
      <c r="AD182" s="165"/>
      <c r="AE182" s="171" t="str">
        <f t="shared" si="20"/>
        <v/>
      </c>
      <c r="AF182" s="45" t="str">
        <f t="shared" si="21"/>
        <v/>
      </c>
      <c r="AG182" s="175" t="str">
        <f t="shared" si="22"/>
        <v/>
      </c>
      <c r="AH182" s="176">
        <f t="shared" si="23"/>
        <v>0</v>
      </c>
      <c r="AI182" s="176">
        <f t="shared" si="24"/>
        <v>0</v>
      </c>
      <c r="AJ182" s="185">
        <f t="shared" si="25"/>
        <v>0</v>
      </c>
      <c r="AK182" s="44"/>
      <c r="AM182" s="44"/>
      <c r="AO182" s="44"/>
      <c r="AP182" s="44" t="str">
        <f t="shared" si="26"/>
        <v/>
      </c>
    </row>
    <row r="183" spans="2:42" s="46" customFormat="1" ht="18.5" customHeight="1">
      <c r="B183" s="226" t="s">
        <v>73</v>
      </c>
      <c r="C183" s="227">
        <f>IF(B183&lt;&gt;"",VLOOKUP(B183,'Tipo Projeto'!$A$3:$B$44,2,0),0)</f>
        <v>1</v>
      </c>
      <c r="D183" s="228"/>
      <c r="E183" s="236"/>
      <c r="F183" s="255" t="s">
        <v>437</v>
      </c>
      <c r="G183" s="228" t="s">
        <v>74</v>
      </c>
      <c r="H183" s="229"/>
      <c r="I183" s="230">
        <v>23</v>
      </c>
      <c r="J183" s="225" t="s">
        <v>438</v>
      </c>
      <c r="K183" s="231">
        <v>3</v>
      </c>
      <c r="L183" s="237" t="s">
        <v>439</v>
      </c>
      <c r="M183" s="232" t="str">
        <f t="shared" si="14"/>
        <v/>
      </c>
      <c r="N183" s="233" t="str">
        <f t="shared" si="15"/>
        <v>Médio</v>
      </c>
      <c r="O183" s="234" t="str">
        <f t="shared" si="41"/>
        <v>Médio</v>
      </c>
      <c r="P183" s="235">
        <f t="shared" si="16"/>
        <v>0</v>
      </c>
      <c r="Q183" s="235">
        <f t="shared" si="17"/>
        <v>10</v>
      </c>
      <c r="R183" s="234">
        <f t="shared" si="18"/>
        <v>10</v>
      </c>
      <c r="S183" s="234">
        <f t="shared" si="19"/>
        <v>10</v>
      </c>
      <c r="T183" s="236"/>
      <c r="U183" s="236"/>
      <c r="W183" s="184"/>
      <c r="X183" s="56"/>
      <c r="Y183" s="155">
        <f>IF(X183&lt;&gt;"",VLOOKUP(X183,'Tipo Projeto'!$A$3:$B$44,2,0),0)</f>
        <v>0</v>
      </c>
      <c r="Z183" s="44"/>
      <c r="AA183" s="57"/>
      <c r="AB183" s="170"/>
      <c r="AC183" s="174"/>
      <c r="AD183" s="165"/>
      <c r="AE183" s="171" t="str">
        <f t="shared" si="20"/>
        <v/>
      </c>
      <c r="AF183" s="45" t="str">
        <f t="shared" si="21"/>
        <v/>
      </c>
      <c r="AG183" s="175" t="str">
        <f t="shared" si="22"/>
        <v/>
      </c>
      <c r="AH183" s="176">
        <f t="shared" si="23"/>
        <v>0</v>
      </c>
      <c r="AI183" s="176">
        <f t="shared" si="24"/>
        <v>0</v>
      </c>
      <c r="AJ183" s="185">
        <f t="shared" si="25"/>
        <v>0</v>
      </c>
      <c r="AK183" s="44"/>
      <c r="AM183" s="44"/>
      <c r="AO183" s="44"/>
      <c r="AP183" s="44" t="str">
        <f t="shared" si="26"/>
        <v/>
      </c>
    </row>
    <row r="184" spans="2:42" s="46" customFormat="1" ht="18.5" customHeight="1">
      <c r="B184" s="226" t="s">
        <v>73</v>
      </c>
      <c r="C184" s="227">
        <f>IF(B184&lt;&gt;"",VLOOKUP(B184,'Tipo Projeto'!$A$3:$B$44,2,0),0)</f>
        <v>1</v>
      </c>
      <c r="D184" s="228"/>
      <c r="E184" s="236"/>
      <c r="F184" s="255" t="s">
        <v>440</v>
      </c>
      <c r="G184" s="228" t="s">
        <v>74</v>
      </c>
      <c r="H184" s="229"/>
      <c r="I184" s="230">
        <v>20</v>
      </c>
      <c r="J184" s="225" t="s">
        <v>442</v>
      </c>
      <c r="K184" s="231">
        <v>2</v>
      </c>
      <c r="L184" s="237" t="s">
        <v>441</v>
      </c>
      <c r="M184" s="232" t="str">
        <f t="shared" si="14"/>
        <v/>
      </c>
      <c r="N184" s="233" t="str">
        <f t="shared" si="15"/>
        <v>Médio</v>
      </c>
      <c r="O184" s="234" t="str">
        <f t="shared" si="41"/>
        <v>Médio</v>
      </c>
      <c r="P184" s="235">
        <f t="shared" si="16"/>
        <v>0</v>
      </c>
      <c r="Q184" s="235">
        <f t="shared" si="17"/>
        <v>10</v>
      </c>
      <c r="R184" s="234">
        <f t="shared" si="18"/>
        <v>10</v>
      </c>
      <c r="S184" s="234">
        <f t="shared" si="19"/>
        <v>10</v>
      </c>
      <c r="T184" s="236"/>
      <c r="U184" s="236"/>
      <c r="W184" s="184"/>
      <c r="X184" s="56"/>
      <c r="Y184" s="155">
        <f>IF(X184&lt;&gt;"",VLOOKUP(X184,'Tipo Projeto'!$A$3:$B$44,2,0),0)</f>
        <v>0</v>
      </c>
      <c r="Z184" s="44"/>
      <c r="AA184" s="57"/>
      <c r="AB184" s="170"/>
      <c r="AC184" s="174"/>
      <c r="AD184" s="165"/>
      <c r="AE184" s="171" t="str">
        <f t="shared" si="20"/>
        <v/>
      </c>
      <c r="AF184" s="45" t="str">
        <f t="shared" si="21"/>
        <v/>
      </c>
      <c r="AG184" s="175" t="str">
        <f t="shared" si="22"/>
        <v/>
      </c>
      <c r="AH184" s="176">
        <f t="shared" si="23"/>
        <v>0</v>
      </c>
      <c r="AI184" s="176">
        <f t="shared" si="24"/>
        <v>0</v>
      </c>
      <c r="AJ184" s="185">
        <f t="shared" si="25"/>
        <v>0</v>
      </c>
      <c r="AK184" s="44"/>
      <c r="AM184" s="44"/>
      <c r="AO184" s="44"/>
      <c r="AP184" s="44" t="str">
        <f t="shared" si="26"/>
        <v/>
      </c>
    </row>
    <row r="185" spans="2:42" s="46" customFormat="1" ht="18.75" customHeight="1">
      <c r="B185" s="226"/>
      <c r="C185" s="227">
        <f>IF(B185&lt;&gt;"",VLOOKUP(B185,'Tipo Projeto'!$A$3:$B$44,2,0),0)</f>
        <v>0</v>
      </c>
      <c r="D185" s="228"/>
      <c r="E185" s="236"/>
      <c r="F185" s="233" t="s">
        <v>530</v>
      </c>
      <c r="G185" s="228" t="s">
        <v>74</v>
      </c>
      <c r="H185" s="229"/>
      <c r="I185" s="230">
        <v>38</v>
      </c>
      <c r="J185" s="225" t="s">
        <v>542</v>
      </c>
      <c r="K185" s="231">
        <v>3</v>
      </c>
      <c r="L185" s="237" t="s">
        <v>543</v>
      </c>
      <c r="M185" s="232" t="str">
        <f t="shared" si="14"/>
        <v/>
      </c>
      <c r="N185" s="233" t="str">
        <f t="shared" si="15"/>
        <v>Médio</v>
      </c>
      <c r="O185" s="234" t="str">
        <f t="shared" si="41"/>
        <v>Médio</v>
      </c>
      <c r="P185" s="235">
        <f t="shared" si="16"/>
        <v>0</v>
      </c>
      <c r="Q185" s="235">
        <f t="shared" si="17"/>
        <v>10</v>
      </c>
      <c r="R185" s="234">
        <f t="shared" si="18"/>
        <v>10</v>
      </c>
      <c r="S185" s="234">
        <f t="shared" si="19"/>
        <v>0</v>
      </c>
      <c r="T185" s="236"/>
      <c r="U185" s="236"/>
      <c r="W185" s="184"/>
      <c r="X185" s="56"/>
      <c r="Y185" s="155">
        <f>IF(X185&lt;&gt;"",VLOOKUP(X185,'Tipo Projeto'!$A$3:$B$44,2,0),0)</f>
        <v>0</v>
      </c>
      <c r="Z185" s="44"/>
      <c r="AA185" s="57"/>
      <c r="AB185" s="170"/>
      <c r="AC185" s="174"/>
      <c r="AD185" s="165"/>
      <c r="AE185" s="171" t="str">
        <f t="shared" si="20"/>
        <v/>
      </c>
      <c r="AF185" s="45" t="str">
        <f t="shared" si="21"/>
        <v/>
      </c>
      <c r="AG185" s="175" t="str">
        <f t="shared" si="22"/>
        <v/>
      </c>
      <c r="AH185" s="176">
        <f t="shared" si="23"/>
        <v>0</v>
      </c>
      <c r="AI185" s="176">
        <f t="shared" si="24"/>
        <v>0</v>
      </c>
      <c r="AJ185" s="185">
        <f t="shared" si="25"/>
        <v>0</v>
      </c>
      <c r="AK185" s="44"/>
      <c r="AM185" s="44"/>
      <c r="AO185" s="44"/>
      <c r="AP185" s="44" t="str">
        <f t="shared" si="26"/>
        <v/>
      </c>
    </row>
    <row r="186" spans="2:42" s="46" customFormat="1" ht="18.75" customHeight="1">
      <c r="B186" s="226"/>
      <c r="C186" s="227">
        <f>IF(B186&lt;&gt;"",VLOOKUP(B186,'Tipo Projeto'!$A$3:$B$44,2,0),0)</f>
        <v>0</v>
      </c>
      <c r="D186" s="228"/>
      <c r="E186" s="236"/>
      <c r="F186" s="233" t="s">
        <v>531</v>
      </c>
      <c r="G186" s="228" t="s">
        <v>74</v>
      </c>
      <c r="H186" s="229"/>
      <c r="I186" s="230">
        <v>12</v>
      </c>
      <c r="J186" s="225" t="s">
        <v>532</v>
      </c>
      <c r="K186" s="231">
        <v>1</v>
      </c>
      <c r="L186" s="237" t="s">
        <v>541</v>
      </c>
      <c r="M186" s="232" t="str">
        <f t="shared" si="14"/>
        <v/>
      </c>
      <c r="N186" s="233" t="str">
        <f t="shared" si="15"/>
        <v>Simples</v>
      </c>
      <c r="O186" s="234" t="str">
        <f t="shared" si="41"/>
        <v>Simples</v>
      </c>
      <c r="P186" s="235">
        <f t="shared" si="16"/>
        <v>0</v>
      </c>
      <c r="Q186" s="235">
        <f t="shared" si="17"/>
        <v>7</v>
      </c>
      <c r="R186" s="234">
        <f t="shared" si="18"/>
        <v>7</v>
      </c>
      <c r="S186" s="234">
        <f t="shared" si="19"/>
        <v>0</v>
      </c>
      <c r="T186" s="236">
        <v>42</v>
      </c>
      <c r="U186" s="236"/>
      <c r="W186" s="184"/>
      <c r="X186" s="56"/>
      <c r="Y186" s="155">
        <f>IF(X186&lt;&gt;"",VLOOKUP(X186,'Tipo Projeto'!$A$3:$B$44,2,0),0)</f>
        <v>0</v>
      </c>
      <c r="Z186" s="44"/>
      <c r="AA186" s="57"/>
      <c r="AB186" s="170"/>
      <c r="AC186" s="174"/>
      <c r="AD186" s="165"/>
      <c r="AE186" s="171" t="str">
        <f t="shared" si="20"/>
        <v/>
      </c>
      <c r="AF186" s="45" t="str">
        <f t="shared" si="21"/>
        <v/>
      </c>
      <c r="AG186" s="175" t="str">
        <f t="shared" si="22"/>
        <v/>
      </c>
      <c r="AH186" s="176">
        <f t="shared" si="23"/>
        <v>0</v>
      </c>
      <c r="AI186" s="176">
        <f t="shared" si="24"/>
        <v>0</v>
      </c>
      <c r="AJ186" s="185">
        <f t="shared" si="25"/>
        <v>0</v>
      </c>
      <c r="AK186" s="44"/>
      <c r="AM186" s="44"/>
      <c r="AO186" s="44"/>
      <c r="AP186" s="44" t="str">
        <f t="shared" si="26"/>
        <v/>
      </c>
    </row>
    <row r="187" spans="2:42" s="46" customFormat="1" ht="18.75" customHeight="1">
      <c r="B187" s="226"/>
      <c r="C187" s="227">
        <f>IF(B187&lt;&gt;"",VLOOKUP(B187,'Tipo Projeto'!$A$3:$B$44,2,0),0)</f>
        <v>0</v>
      </c>
      <c r="D187" s="228"/>
      <c r="E187" s="236"/>
      <c r="F187" s="233"/>
      <c r="G187" s="228"/>
      <c r="H187" s="229"/>
      <c r="I187" s="230"/>
      <c r="J187" s="225"/>
      <c r="K187" s="231"/>
      <c r="L187" s="237"/>
      <c r="M187" s="232" t="str">
        <f t="shared" si="14"/>
        <v/>
      </c>
      <c r="N187" s="233" t="str">
        <f t="shared" si="15"/>
        <v/>
      </c>
      <c r="O187" s="234" t="str">
        <f t="shared" si="41"/>
        <v/>
      </c>
      <c r="P187" s="235">
        <f t="shared" si="16"/>
        <v>0</v>
      </c>
      <c r="Q187" s="235">
        <f t="shared" si="17"/>
        <v>0</v>
      </c>
      <c r="R187" s="234">
        <f t="shared" si="18"/>
        <v>0</v>
      </c>
      <c r="S187" s="234">
        <f t="shared" si="19"/>
        <v>0</v>
      </c>
      <c r="T187" s="236"/>
      <c r="U187" s="236"/>
      <c r="W187" s="184"/>
      <c r="X187" s="56"/>
      <c r="Y187" s="155">
        <f>IF(X187&lt;&gt;"",VLOOKUP(X187,'Tipo Projeto'!$A$3:$B$44,2,0),0)</f>
        <v>0</v>
      </c>
      <c r="Z187" s="44"/>
      <c r="AA187" s="57"/>
      <c r="AB187" s="170"/>
      <c r="AC187" s="174"/>
      <c r="AD187" s="165"/>
      <c r="AE187" s="171" t="str">
        <f t="shared" si="20"/>
        <v/>
      </c>
      <c r="AF187" s="45" t="str">
        <f t="shared" si="21"/>
        <v/>
      </c>
      <c r="AG187" s="175" t="str">
        <f t="shared" si="22"/>
        <v/>
      </c>
      <c r="AH187" s="176">
        <f t="shared" si="23"/>
        <v>0</v>
      </c>
      <c r="AI187" s="176">
        <f t="shared" si="24"/>
        <v>0</v>
      </c>
      <c r="AJ187" s="185">
        <f t="shared" si="25"/>
        <v>0</v>
      </c>
      <c r="AK187" s="44"/>
      <c r="AM187" s="44"/>
      <c r="AO187" s="44"/>
      <c r="AP187" s="44" t="str">
        <f t="shared" si="26"/>
        <v/>
      </c>
    </row>
    <row r="188" spans="2:42" s="46" customFormat="1" ht="18.75" customHeight="1">
      <c r="B188" s="226"/>
      <c r="C188" s="227">
        <f>IF(B188&lt;&gt;"",VLOOKUP(B188,'Tipo Projeto'!$A$3:$B$44,2,0),0)</f>
        <v>0</v>
      </c>
      <c r="D188" s="228"/>
      <c r="E188" s="236"/>
      <c r="F188" s="233"/>
      <c r="G188" s="228"/>
      <c r="H188" s="229"/>
      <c r="I188" s="230"/>
      <c r="J188" s="225"/>
      <c r="K188" s="231"/>
      <c r="L188" s="237"/>
      <c r="M188" s="232" t="str">
        <f t="shared" ref="M188:M191" si="294">IF(G188="EE",IF(OR(AND(OR(K188=1,K188=0),I188&gt;0,I188&lt;5),AND(OR(K188=1,K188=0),I188&gt;4,I188&lt;16),AND(K188=2,I188&gt;0,I188&lt;5)),"Simples",IF(OR(AND(OR(K188=1,K188=0),I188&gt;15),AND(K188=2,I188&gt;4,I188&lt;16),AND(K188&gt;2,I188&gt;0,I188&lt;5)),"Médio",IF(OR(AND(K188=2,I188&gt;15),AND(K188&gt;2,I188&gt;4,I188&lt;16),AND(K188&gt;2,I188&gt;15)),"Complexo",""))),
IF(OR(G188="CE",G188="SE"),IF(OR(AND(OR(K188=1,K188=0),I188&gt;0,I188&lt;6),AND(OR(K188=1,K188=0),I188&gt;5,I188&lt;20),AND(K188&gt;1,K188&lt;4,I188&gt;0,I188&lt;6)),"Simples",IF(OR(AND(OR(K188=1,K188=0),I188&gt;19),AND(K188&gt;1,K188&lt;4,I188&gt;5,I188&lt;20),AND(K188&gt;3,I188&gt;0,I188&lt;6)),"Médio",IF(OR(AND(K188&gt;1,K188&lt;4,I188&gt;19),AND(K188&gt;3,I188&gt;5,I188&lt;20),AND(K188&gt;3,I188&gt;19)),"Complexo",""))),""))</f>
        <v/>
      </c>
      <c r="N188" s="233" t="str">
        <f t="shared" ref="N188:N191" si="295">IF(G188="ALI",IF(OR(AND(OR(K188=1,K188=0),I188&gt;0,I188&lt;20),AND(OR(K188=1,K188=0),I188&gt;19,I188&lt;51),AND(K188&gt;1,K188&lt;6,I188&gt;0,I188&lt;20)),"Simples",IF(OR(AND(OR(K188=1,K188=0),I188&gt;50),AND(K188&gt;1,K188&lt;6,I188&gt;19,I188&lt;51),AND(K188&gt;5,I188&gt;0,I188&lt;20)),"Médio",IF(OR(AND(K188&gt;1,K188&lt;6,I188&gt;50),AND(K188&gt;5,I188&gt;19,I188&lt;51),AND(K188&gt;5,I188&gt;50)),"Complexo",""))),
IF(G188="AIE",IF(OR(AND(OR(K188=1, K188=0),I188&gt;0,I188&lt;20),AND(OR(K188=1, K188=0),I188&gt;19,I188&lt;51),AND(K188&gt;1,K188&lt;6,I188&gt;0,I188&lt;20)),"Simples",IF(OR(AND(OR(K188=1, K188=0),I188&gt;50),AND(K188&gt;1,K188&lt;6,I188&gt;19,I188&lt;51),AND(K188&gt;5,I188&gt;0,I188&lt;20)),"Médio",IF(OR(AND(K188&gt;1,K188&lt;6,I188&gt;50),AND(K188&gt;5,I188&gt;19,I188&lt;51),AND(K188&gt;5,I188&gt;50)),"Complexo",""))),""))</f>
        <v/>
      </c>
      <c r="O188" s="234" t="str">
        <f t="shared" si="41"/>
        <v/>
      </c>
      <c r="P188" s="235">
        <f t="shared" ref="P188:P191" si="296">IF(AND(OR(G188="EE",G188="CE"),O188="Simples"),3,
IF(AND(OR(G188="EE",G188="CE"),O188="Médio"),4,
IF(AND(OR(G188="EE",G188="CE"),O188="Complexo"),6,
IF(AND(G188="SE",O188="Simples"),4,
IF(AND(G188="SE",O188="Médio"),5,
IF(AND(G188="SE",O188="Complexo"),7,0))))))</f>
        <v>0</v>
      </c>
      <c r="Q188" s="235">
        <f t="shared" ref="Q188:Q191" si="297">IF(AND(G188="ALI",N188="Simples"),7,
IF(AND(G188="ALI",N188="Médio"),10,
IF(AND(G188="ALI",N188="Complexo"),15,
IF(AND(G188="AIE",N188="Simples"),5,
IF(AND(G188="AIE",N188="Médio"),7,
IF(AND(G188="AIE",N188="Complexo"),10,0))))))</f>
        <v>0</v>
      </c>
      <c r="R188" s="234">
        <f t="shared" ref="R188:R191" si="298">IF(G188="INM",C188*H188,IF(AND(OR(G188="EE",G188="CE"),O188="Simples"),3,
IF(AND(OR(G188="EE",G188="CE"),O188="Médio"),4,
IF(AND(OR(G188="EE",G188="CE"),O188="Complexo"),6,
IF(AND(G188="SE",O188="Simples"),4,
IF(AND(G188="SE",O188="Médio"),5,
IF(AND(G188="SE",O188="Complexo"),7,
IF(AND(G188="ALI",O188="Médio"),10,
IF(AND(G188="ALI",O188="Simples"),7,
IF(AND(G188="ALI",O188="Complexo"),15,
IF(AND(G188="AIE",O188="Simples"),5,
IF(AND(G188="AIE",O188="Médio"),7,
IF(AND(G188="AIE",O188="Complexo"),10,0))
)))))))))))</f>
        <v>0</v>
      </c>
      <c r="S188" s="234">
        <f t="shared" ref="S188:S191" si="299">IF(G188="INM",C188*H188,IF(B188&lt;&gt;"Manutenção em interface",IF(B188&lt;&gt;"Desenv., Manutenção e Publicação de Páginas Estáticas",(P188+Q188)*C188,C188),C188))</f>
        <v>0</v>
      </c>
      <c r="T188" s="236"/>
      <c r="U188" s="236"/>
      <c r="W188" s="184"/>
      <c r="X188" s="56"/>
      <c r="Y188" s="155">
        <f>IF(X188&lt;&gt;"",VLOOKUP(X188,'Tipo Projeto'!$A$3:$B$44,2,0),0)</f>
        <v>0</v>
      </c>
      <c r="Z188" s="44"/>
      <c r="AA188" s="57"/>
      <c r="AB188" s="170"/>
      <c r="AC188" s="174"/>
      <c r="AD188" s="165"/>
      <c r="AE188" s="171" t="str">
        <f t="shared" si="20"/>
        <v/>
      </c>
      <c r="AF188" s="45" t="str">
        <f t="shared" si="21"/>
        <v/>
      </c>
      <c r="AG188" s="175" t="str">
        <f t="shared" si="22"/>
        <v/>
      </c>
      <c r="AH188" s="176">
        <f t="shared" si="23"/>
        <v>0</v>
      </c>
      <c r="AI188" s="176">
        <f t="shared" si="24"/>
        <v>0</v>
      </c>
      <c r="AJ188" s="185">
        <f t="shared" si="25"/>
        <v>0</v>
      </c>
      <c r="AK188" s="44"/>
      <c r="AM188" s="44"/>
      <c r="AO188" s="44"/>
      <c r="AP188" s="44" t="str">
        <f t="shared" si="26"/>
        <v/>
      </c>
    </row>
    <row r="189" spans="2:42" s="46" customFormat="1" ht="18.75" customHeight="1">
      <c r="B189" s="226"/>
      <c r="C189" s="227">
        <f>IF(B189&lt;&gt;"",VLOOKUP(B189,'Tipo Projeto'!$A$3:$B$44,2,0),0)</f>
        <v>0</v>
      </c>
      <c r="D189" s="228"/>
      <c r="E189" s="236"/>
      <c r="F189" s="233"/>
      <c r="G189" s="228"/>
      <c r="H189" s="229"/>
      <c r="I189" s="230"/>
      <c r="J189" s="225"/>
      <c r="K189" s="231"/>
      <c r="L189" s="237"/>
      <c r="M189" s="232" t="str">
        <f t="shared" si="294"/>
        <v/>
      </c>
      <c r="N189" s="233" t="str">
        <f t="shared" si="295"/>
        <v/>
      </c>
      <c r="O189" s="234" t="str">
        <f t="shared" si="41"/>
        <v/>
      </c>
      <c r="P189" s="235">
        <f t="shared" si="296"/>
        <v>0</v>
      </c>
      <c r="Q189" s="235">
        <f t="shared" si="297"/>
        <v>0</v>
      </c>
      <c r="R189" s="234">
        <f t="shared" si="298"/>
        <v>0</v>
      </c>
      <c r="S189" s="234">
        <f t="shared" si="299"/>
        <v>0</v>
      </c>
      <c r="T189" s="236"/>
      <c r="U189" s="236"/>
      <c r="W189" s="184"/>
      <c r="X189" s="56"/>
      <c r="Y189" s="155">
        <f>IF(X189&lt;&gt;"",VLOOKUP(X189,'Tipo Projeto'!$A$3:$B$44,2,0),0)</f>
        <v>0</v>
      </c>
      <c r="Z189" s="44"/>
      <c r="AA189" s="57"/>
      <c r="AB189" s="170"/>
      <c r="AC189" s="174"/>
      <c r="AD189" s="165"/>
      <c r="AE189" s="171" t="str">
        <f t="shared" si="20"/>
        <v/>
      </c>
      <c r="AF189" s="45" t="str">
        <f t="shared" si="21"/>
        <v/>
      </c>
      <c r="AG189" s="175" t="str">
        <f t="shared" si="22"/>
        <v/>
      </c>
      <c r="AH189" s="176">
        <f t="shared" si="23"/>
        <v>0</v>
      </c>
      <c r="AI189" s="176">
        <f t="shared" si="24"/>
        <v>0</v>
      </c>
      <c r="AJ189" s="185">
        <f t="shared" si="25"/>
        <v>0</v>
      </c>
      <c r="AK189" s="44"/>
      <c r="AM189" s="44"/>
      <c r="AO189" s="44"/>
      <c r="AP189" s="44" t="str">
        <f t="shared" si="26"/>
        <v/>
      </c>
    </row>
    <row r="190" spans="2:42" s="46" customFormat="1" ht="18.75" customHeight="1">
      <c r="B190" s="226"/>
      <c r="C190" s="227">
        <f>IF(B190&lt;&gt;"",VLOOKUP(B190,'Tipo Projeto'!$A$3:$B$44,2,0),0)</f>
        <v>0</v>
      </c>
      <c r="D190" s="228"/>
      <c r="E190" s="236"/>
      <c r="F190" s="233"/>
      <c r="G190" s="228"/>
      <c r="H190" s="229"/>
      <c r="I190" s="230"/>
      <c r="J190" s="225"/>
      <c r="K190" s="231"/>
      <c r="L190" s="237"/>
      <c r="M190" s="232" t="str">
        <f t="shared" si="294"/>
        <v/>
      </c>
      <c r="N190" s="233" t="str">
        <f t="shared" si="295"/>
        <v/>
      </c>
      <c r="O190" s="234" t="str">
        <f t="shared" si="41"/>
        <v/>
      </c>
      <c r="P190" s="235">
        <f t="shared" si="296"/>
        <v>0</v>
      </c>
      <c r="Q190" s="235">
        <f t="shared" si="297"/>
        <v>0</v>
      </c>
      <c r="R190" s="234">
        <f t="shared" si="298"/>
        <v>0</v>
      </c>
      <c r="S190" s="234">
        <f t="shared" si="299"/>
        <v>0</v>
      </c>
      <c r="T190" s="236"/>
      <c r="U190" s="236"/>
      <c r="W190" s="184"/>
      <c r="X190" s="56"/>
      <c r="Y190" s="155">
        <f>IF(X190&lt;&gt;"",VLOOKUP(X190,'Tipo Projeto'!$A$3:$B$44,2,0),0)</f>
        <v>0</v>
      </c>
      <c r="Z190" s="44"/>
      <c r="AA190" s="57"/>
      <c r="AB190" s="170"/>
      <c r="AC190" s="174"/>
      <c r="AD190" s="165"/>
      <c r="AE190" s="171" t="str">
        <f t="shared" si="20"/>
        <v/>
      </c>
      <c r="AF190" s="45" t="str">
        <f t="shared" si="21"/>
        <v/>
      </c>
      <c r="AG190" s="175" t="str">
        <f t="shared" si="22"/>
        <v/>
      </c>
      <c r="AH190" s="176">
        <f t="shared" si="23"/>
        <v>0</v>
      </c>
      <c r="AI190" s="176">
        <f t="shared" si="24"/>
        <v>0</v>
      </c>
      <c r="AJ190" s="185">
        <f t="shared" si="25"/>
        <v>0</v>
      </c>
      <c r="AK190" s="44"/>
      <c r="AM190" s="44"/>
      <c r="AO190" s="44"/>
      <c r="AP190" s="44" t="str">
        <f t="shared" si="26"/>
        <v/>
      </c>
    </row>
    <row r="191" spans="2:42" s="46" customFormat="1" ht="18.75" customHeight="1">
      <c r="B191" s="226"/>
      <c r="C191" s="227">
        <f>IF(B191&lt;&gt;"",VLOOKUP(B191,'Tipo Projeto'!$A$3:$B$44,2,0),0)</f>
        <v>0</v>
      </c>
      <c r="D191" s="228"/>
      <c r="E191" s="236"/>
      <c r="F191" s="233"/>
      <c r="G191" s="228"/>
      <c r="H191" s="229"/>
      <c r="I191" s="230"/>
      <c r="J191" s="225"/>
      <c r="K191" s="231"/>
      <c r="L191" s="237"/>
      <c r="M191" s="232" t="str">
        <f t="shared" si="294"/>
        <v/>
      </c>
      <c r="N191" s="233" t="str">
        <f t="shared" si="295"/>
        <v/>
      </c>
      <c r="O191" s="234" t="str">
        <f t="shared" si="41"/>
        <v/>
      </c>
      <c r="P191" s="235">
        <f t="shared" si="296"/>
        <v>0</v>
      </c>
      <c r="Q191" s="235">
        <f t="shared" si="297"/>
        <v>0</v>
      </c>
      <c r="R191" s="234">
        <f t="shared" si="298"/>
        <v>0</v>
      </c>
      <c r="S191" s="234">
        <f t="shared" si="299"/>
        <v>0</v>
      </c>
      <c r="T191" s="236"/>
      <c r="U191" s="236"/>
      <c r="W191" s="184"/>
      <c r="X191" s="56"/>
      <c r="Y191" s="155">
        <f>IF(X191&lt;&gt;"",VLOOKUP(X191,'Tipo Projeto'!$A$3:$B$44,2,0),0)</f>
        <v>0</v>
      </c>
      <c r="Z191" s="44"/>
      <c r="AA191" s="57"/>
      <c r="AB191" s="170"/>
      <c r="AC191" s="174"/>
      <c r="AD191" s="165"/>
      <c r="AE191" s="171" t="str">
        <f t="shared" si="20"/>
        <v/>
      </c>
      <c r="AF191" s="45" t="str">
        <f t="shared" si="21"/>
        <v/>
      </c>
      <c r="AG191" s="175" t="str">
        <f t="shared" si="22"/>
        <v/>
      </c>
      <c r="AH191" s="176">
        <f t="shared" si="23"/>
        <v>0</v>
      </c>
      <c r="AI191" s="176">
        <f t="shared" si="24"/>
        <v>0</v>
      </c>
      <c r="AJ191" s="185">
        <f t="shared" si="25"/>
        <v>0</v>
      </c>
      <c r="AK191" s="44"/>
      <c r="AM191" s="44"/>
      <c r="AO191" s="44"/>
      <c r="AP191" s="44" t="str">
        <f t="shared" si="26"/>
        <v/>
      </c>
    </row>
    <row r="192" spans="2:42" s="46" customFormat="1" ht="14.25" customHeight="1">
      <c r="B192" s="284" t="s">
        <v>81</v>
      </c>
      <c r="C192" s="285"/>
      <c r="D192" s="285"/>
      <c r="E192" s="285"/>
      <c r="F192" s="285"/>
      <c r="G192" s="285"/>
      <c r="H192" s="285"/>
      <c r="I192" s="285"/>
      <c r="J192" s="285"/>
      <c r="K192" s="285"/>
      <c r="L192" s="285"/>
      <c r="M192" s="285"/>
      <c r="N192" s="285"/>
      <c r="O192" s="285"/>
      <c r="P192" s="285"/>
      <c r="Q192" s="285"/>
      <c r="R192" s="285"/>
      <c r="S192" s="285"/>
      <c r="T192" s="285"/>
      <c r="U192" s="286"/>
      <c r="W192" s="276" t="s">
        <v>81</v>
      </c>
      <c r="X192" s="262"/>
      <c r="Y192" s="262"/>
      <c r="Z192" s="262"/>
      <c r="AA192" s="262"/>
      <c r="AB192" s="262"/>
      <c r="AC192" s="262"/>
      <c r="AD192" s="262"/>
      <c r="AE192" s="262"/>
      <c r="AF192" s="262"/>
      <c r="AG192" s="262"/>
      <c r="AH192" s="262"/>
      <c r="AI192" s="262"/>
      <c r="AJ192" s="262"/>
      <c r="AK192" s="263"/>
      <c r="AM192" s="205"/>
      <c r="AO192" s="205"/>
      <c r="AP192" s="205"/>
    </row>
    <row r="193" spans="2:42" ht="25.5" customHeight="1">
      <c r="B193" s="238"/>
      <c r="C193" s="238"/>
      <c r="D193" s="239"/>
      <c r="E193" s="240"/>
      <c r="F193" s="241"/>
      <c r="G193" s="242"/>
      <c r="H193" s="242"/>
      <c r="I193" s="242"/>
      <c r="J193" s="240"/>
      <c r="K193" s="242"/>
      <c r="L193" s="240"/>
      <c r="M193" s="238"/>
      <c r="N193" s="238"/>
      <c r="O193" s="243" t="s">
        <v>82</v>
      </c>
      <c r="P193" s="238"/>
      <c r="Q193" s="244">
        <f>IF(AND(G193="ALI",N193="Simples"),7,
IF(AND(G193="ALI",N193="Médio"),10,
IF(AND(G193="ALI",N193="Complexo"),15,
IF(AND(G193="AIE",N193="Simples"),5,
IF(AND(G193="AIE",N193="Médio"),7,
IF(AND(G193="AIE",N193="Complexo"),10,0))))))</f>
        <v>0</v>
      </c>
      <c r="R193" s="245">
        <f>SUM(R10:R192)</f>
        <v>647</v>
      </c>
      <c r="S193" s="245">
        <f>SUM(S10:S192)</f>
        <v>502.5</v>
      </c>
      <c r="AG193" s="67" t="s">
        <v>82</v>
      </c>
      <c r="AH193" s="58"/>
      <c r="AI193" s="45">
        <f>IF(AND(Z193="ALI",AF193="Simples"),7,
IF(AND(Z193="ALI",AF193="Médio"),10,
IF(AND(Z193="ALI",AF193="Complexo"),15,
IF(AND(Z193="AIE",AF193="Simples"),5,
IF(AND(Z193="AIE",AF193="Médio"),7,
IF(AND(Z193="AIE",AF193="Complexo"),10,0))))))</f>
        <v>0</v>
      </c>
      <c r="AJ193" s="158">
        <f>SUM(AJ10:AJ191)</f>
        <v>0</v>
      </c>
      <c r="AK193" s="50"/>
      <c r="AM193" s="50"/>
      <c r="AO193" s="50"/>
      <c r="AP193" s="50"/>
    </row>
    <row r="194" spans="2:42" ht="16.5" customHeight="1">
      <c r="O194" s="243" t="s">
        <v>83</v>
      </c>
      <c r="P194" s="238"/>
      <c r="Q194" s="233"/>
      <c r="R194" s="245">
        <f>SUMIF(G10:G191,"INM",R10:R191)</f>
        <v>0</v>
      </c>
      <c r="S194" s="245">
        <f>SUMIF(G10:G191,"INM",S10:S191)</f>
        <v>0</v>
      </c>
    </row>
    <row r="206" spans="2:42">
      <c r="D206" s="251"/>
      <c r="E206" s="252"/>
      <c r="F206" s="253"/>
      <c r="I206" s="254"/>
      <c r="J206" s="252"/>
      <c r="K206" s="254"/>
      <c r="L206" s="252"/>
    </row>
    <row r="207" spans="2:42">
      <c r="D207" s="251"/>
      <c r="E207" s="252"/>
      <c r="F207" s="253"/>
      <c r="I207" s="254"/>
      <c r="J207" s="252"/>
      <c r="K207" s="254"/>
      <c r="L207" s="252"/>
    </row>
  </sheetData>
  <mergeCells count="51">
    <mergeCell ref="W192:AK192"/>
    <mergeCell ref="W3:Y6"/>
    <mergeCell ref="AM8:AM9"/>
    <mergeCell ref="R8:R9"/>
    <mergeCell ref="J6:O6"/>
    <mergeCell ref="B192:U192"/>
    <mergeCell ref="E8:E9"/>
    <mergeCell ref="G8:G9"/>
    <mergeCell ref="Z6:AD6"/>
    <mergeCell ref="AJ8:AJ9"/>
    <mergeCell ref="O8:O9"/>
    <mergeCell ref="D8:D9"/>
    <mergeCell ref="AG8:AG9"/>
    <mergeCell ref="I8:J8"/>
    <mergeCell ref="Z5:AD5"/>
    <mergeCell ref="R6:U6"/>
    <mergeCell ref="C1:U1"/>
    <mergeCell ref="Z4:AD4"/>
    <mergeCell ref="B6:C6"/>
    <mergeCell ref="J5:O5"/>
    <mergeCell ref="AG3:AK3"/>
    <mergeCell ref="B4:C4"/>
    <mergeCell ref="R3:U3"/>
    <mergeCell ref="J3:O3"/>
    <mergeCell ref="Z3:AD3"/>
    <mergeCell ref="B5:C5"/>
    <mergeCell ref="AG5:AK5"/>
    <mergeCell ref="E5:E6"/>
    <mergeCell ref="AG4:AK4"/>
    <mergeCell ref="F5:F6"/>
    <mergeCell ref="J4:O4"/>
    <mergeCell ref="R5:U5"/>
    <mergeCell ref="AG6:AK6"/>
    <mergeCell ref="F8:F9"/>
    <mergeCell ref="Z8:Z9"/>
    <mergeCell ref="T8:T9"/>
    <mergeCell ref="AC8:AD8"/>
    <mergeCell ref="AA8:AB8"/>
    <mergeCell ref="H8:H9"/>
    <mergeCell ref="Y8:Y9"/>
    <mergeCell ref="AK8:AK9"/>
    <mergeCell ref="R4:U4"/>
    <mergeCell ref="K8:L8"/>
    <mergeCell ref="U8:U9"/>
    <mergeCell ref="W8:W9"/>
    <mergeCell ref="X8:X9"/>
    <mergeCell ref="AP8:AP9"/>
    <mergeCell ref="B8:B9"/>
    <mergeCell ref="S8:S9"/>
    <mergeCell ref="C8:C9"/>
    <mergeCell ref="AO8:AO9"/>
  </mergeCells>
  <conditionalFormatting sqref="G10:H191 Z10:Z191">
    <cfRule type="cellIs" priority="5" stopIfTrue="1" operator="between">
      <formula>"Desenvolvimento"</formula>
      <formula>"Manutenção"</formula>
    </cfRule>
  </conditionalFormatting>
  <conditionalFormatting sqref="H10:H191">
    <cfRule type="expression" dxfId="9" priority="4">
      <formula>G10="INM"</formula>
    </cfRule>
  </conditionalFormatting>
  <conditionalFormatting sqref="X10:AG191">
    <cfRule type="expression" dxfId="8" priority="17">
      <formula>$W10="OK"</formula>
    </cfRule>
  </conditionalFormatting>
  <dataValidations count="5">
    <dataValidation type="list" allowBlank="1" showInputMessage="1" showErrorMessage="1" errorTitle="Erro" error="Selecione uma das opções apresentada" sqref="Z10:Z191" xr:uid="{00000000-0002-0000-0200-000000000000}">
      <formula1>"-------,EE,SE,CE,ALI,AIE"</formula1>
    </dataValidation>
    <dataValidation type="list" allowBlank="1" showInputMessage="1" showErrorMessage="1" sqref="X10:X191 B10:B191" xr:uid="{00000000-0002-0000-0200-000001000000}">
      <formula1>TipoProjeto</formula1>
    </dataValidation>
    <dataValidation type="list" allowBlank="1" showInputMessage="1" showErrorMessage="1" sqref="W10:W191" xr:uid="{00000000-0002-0000-0200-000002000000}">
      <formula1>"OK, Divergente, Novo"</formula1>
    </dataValidation>
    <dataValidation type="list" allowBlank="1" showInputMessage="1" showErrorMessage="1" errorTitle="Erro" error="Selecione uma das opções apresentada" sqref="G10:G191" xr:uid="{00000000-0002-0000-0200-000003000000}">
      <formula1>"-------,EE,SE,CE,ALI,AIE,INM"</formula1>
    </dataValidation>
    <dataValidation allowBlank="1" showInputMessage="1" showErrorMessage="1" errorTitle="Erro" error="Selecione uma das opções apresentada" sqref="H10:H191" xr:uid="{00000000-0002-0000-0200-000004000000}"/>
  </dataValidations>
  <pageMargins left="0.19685039370078741" right="0.19685039370078741" top="0.33" bottom="0.43" header="0.18" footer="0.27559055118110237"/>
  <pageSetup paperSize="9" scale="78" fitToHeight="1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249977111117893"/>
    <pageSetUpPr fitToPage="1"/>
  </sheetPr>
  <dimension ref="B1:R395"/>
  <sheetViews>
    <sheetView showGridLines="0" zoomScale="80" zoomScaleNormal="80" workbookViewId="0">
      <selection activeCell="E18" sqref="E18"/>
    </sheetView>
  </sheetViews>
  <sheetFormatPr baseColWidth="10" defaultColWidth="8.83203125" defaultRowHeight="13"/>
  <cols>
    <col min="1" max="1" width="3.1640625" style="21" customWidth="1"/>
    <col min="2" max="2" width="36.1640625" style="21" customWidth="1"/>
    <col min="3" max="3" width="14.1640625" style="21" customWidth="1"/>
    <col min="4" max="4" width="14.1640625" style="53" customWidth="1"/>
    <col min="5" max="5" width="24.1640625" style="53" customWidth="1"/>
    <col min="6" max="6" width="44" style="54" customWidth="1"/>
    <col min="7" max="7" width="12.1640625" style="34" bestFit="1" customWidth="1"/>
    <col min="8" max="9" width="7.5" style="34" customWidth="1"/>
    <col min="10" max="10" width="8.1640625" style="21" customWidth="1"/>
    <col min="11" max="11" width="34.1640625" style="21" customWidth="1"/>
    <col min="12" max="12" width="36.5" style="21" customWidth="1"/>
    <col min="13" max="17" width="9.1640625" style="21" customWidth="1"/>
    <col min="18" max="19" width="8.83203125" style="21" customWidth="1"/>
    <col min="20" max="16384" width="8.83203125" style="21"/>
  </cols>
  <sheetData>
    <row r="1" spans="2:18" ht="69" customHeight="1">
      <c r="B1" s="20"/>
      <c r="C1" s="266" t="s">
        <v>84</v>
      </c>
      <c r="D1" s="267"/>
      <c r="E1" s="267"/>
      <c r="F1" s="267"/>
      <c r="G1" s="267"/>
      <c r="H1" s="267"/>
      <c r="I1" s="267"/>
      <c r="J1" s="267"/>
      <c r="K1" s="267"/>
      <c r="L1" s="27"/>
      <c r="M1" s="27"/>
      <c r="N1" s="27"/>
      <c r="O1" s="27"/>
      <c r="P1" s="27"/>
      <c r="Q1" s="27"/>
      <c r="R1" s="27"/>
    </row>
    <row r="2" spans="2:18" ht="9" customHeight="1">
      <c r="B2" s="22"/>
      <c r="C2" s="28"/>
      <c r="D2" s="28"/>
      <c r="E2" s="28"/>
      <c r="F2" s="28"/>
      <c r="G2" s="28"/>
      <c r="H2" s="28"/>
      <c r="I2" s="28"/>
      <c r="J2" s="28"/>
      <c r="K2" s="28"/>
    </row>
    <row r="3" spans="2:18" ht="18.5" customHeight="1">
      <c r="B3" s="23"/>
      <c r="C3" s="23"/>
      <c r="D3" s="23"/>
      <c r="E3" s="23"/>
      <c r="F3" s="55"/>
      <c r="G3" s="313" t="s">
        <v>12</v>
      </c>
      <c r="H3" s="262"/>
      <c r="I3" s="262"/>
      <c r="J3" s="263"/>
      <c r="K3" s="271" t="s">
        <v>85</v>
      </c>
      <c r="L3" s="263"/>
    </row>
    <row r="4" spans="2:18" ht="18.5" customHeight="1">
      <c r="B4" s="204" t="s">
        <v>42</v>
      </c>
      <c r="C4" s="219">
        <f>I384</f>
        <v>0</v>
      </c>
      <c r="D4" s="23"/>
      <c r="E4" s="23"/>
      <c r="F4" s="55"/>
      <c r="G4" s="313" t="s">
        <v>14</v>
      </c>
      <c r="H4" s="262"/>
      <c r="I4" s="262"/>
      <c r="J4" s="263"/>
      <c r="K4" s="261"/>
      <c r="L4" s="263"/>
    </row>
    <row r="5" spans="2:18" ht="18.5" customHeight="1">
      <c r="B5" s="268" t="s">
        <v>86</v>
      </c>
      <c r="C5" s="314">
        <f>J384</f>
        <v>0</v>
      </c>
      <c r="D5" s="23"/>
      <c r="E5" s="23"/>
      <c r="F5" s="55"/>
      <c r="G5" s="313" t="s">
        <v>15</v>
      </c>
      <c r="H5" s="262"/>
      <c r="I5" s="262"/>
      <c r="J5" s="263"/>
      <c r="K5" s="271"/>
      <c r="L5" s="263"/>
    </row>
    <row r="6" spans="2:18" ht="18.5" customHeight="1">
      <c r="B6" s="257"/>
      <c r="C6" s="315"/>
      <c r="D6" s="23"/>
      <c r="E6" s="23"/>
      <c r="F6" s="55"/>
      <c r="G6" s="313" t="s">
        <v>16</v>
      </c>
      <c r="H6" s="262"/>
      <c r="I6" s="262"/>
      <c r="J6" s="263"/>
      <c r="K6" s="261"/>
      <c r="L6" s="263"/>
    </row>
    <row r="7" spans="2:18" ht="9" customHeight="1">
      <c r="D7" s="55"/>
      <c r="E7" s="55"/>
      <c r="F7" s="55"/>
      <c r="G7" s="21"/>
      <c r="H7" s="21"/>
      <c r="I7" s="21"/>
    </row>
    <row r="8" spans="2:18" s="42" customFormat="1" ht="23.75" customHeight="1">
      <c r="B8" s="312" t="s">
        <v>47</v>
      </c>
      <c r="C8" s="312" t="s">
        <v>48</v>
      </c>
      <c r="D8" s="312" t="s">
        <v>49</v>
      </c>
      <c r="E8" s="312" t="s">
        <v>50</v>
      </c>
      <c r="F8" s="265" t="s">
        <v>51</v>
      </c>
      <c r="G8" s="265" t="s">
        <v>87</v>
      </c>
      <c r="H8" s="262"/>
      <c r="I8" s="262"/>
      <c r="J8" s="263"/>
      <c r="K8" s="259" t="s">
        <v>88</v>
      </c>
      <c r="L8" s="259" t="s">
        <v>60</v>
      </c>
    </row>
    <row r="9" spans="2:18" s="43" customFormat="1" ht="25.5" customHeight="1">
      <c r="B9" s="310"/>
      <c r="C9" s="310"/>
      <c r="D9" s="310"/>
      <c r="E9" s="310"/>
      <c r="F9" s="257"/>
      <c r="G9" s="203" t="s">
        <v>52</v>
      </c>
      <c r="H9" s="160" t="s">
        <v>89</v>
      </c>
      <c r="I9" s="160" t="s">
        <v>57</v>
      </c>
      <c r="J9" s="203" t="s">
        <v>58</v>
      </c>
      <c r="K9" s="257"/>
      <c r="L9" s="257"/>
    </row>
    <row r="10" spans="2:18" s="46" customFormat="1" ht="14.25" customHeight="1">
      <c r="B10" s="276" t="s">
        <v>90</v>
      </c>
      <c r="C10" s="262"/>
      <c r="D10" s="262"/>
      <c r="E10" s="262"/>
      <c r="F10" s="262"/>
      <c r="G10" s="262"/>
      <c r="H10" s="262"/>
      <c r="I10" s="262"/>
      <c r="J10" s="262"/>
      <c r="K10" s="262"/>
      <c r="L10" s="263"/>
    </row>
    <row r="11" spans="2:18" s="46" customFormat="1" ht="19.5" customHeight="1">
      <c r="B11" s="214"/>
      <c r="C11" s="215">
        <f>IF(B11&lt;&gt;"",VLOOKUP(B11,'Tipo Projeto'!$A$3:$B$44,2,0),0)</f>
        <v>0</v>
      </c>
      <c r="D11" s="216"/>
      <c r="E11" s="216"/>
      <c r="F11" s="212"/>
      <c r="G11" s="216"/>
      <c r="H11" s="217"/>
      <c r="I11" s="218">
        <f t="shared" ref="I11:I74" si="0">IF(G11="INM",C11*H11,IF(B11&lt;&gt;"Manutenção em interface",IF(B11&lt;&gt;"Desenv., Manutenção e Publicação de Páginas Estáticas",IF(G11="EE",4,IF(G11="CE",4,IF(G11="SE",5,IF(G11="ALI",7,IF(G11="AIE",5,0)))))*1,0),0))</f>
        <v>0</v>
      </c>
      <c r="J11" s="218">
        <f t="shared" ref="J11:J74" si="1">IF(G11="INM",C11*H11,IF(B11&lt;&gt;"Manutenção em interface",IF(B11&lt;&gt;"Desenv., Manutenção e Publicação de Páginas Estáticas",IF(G11="EE",4,IF(G11="CE",4,IF(G11="SE",5,IF(G11="ALI",7,IF(G11="AIE",5,0)))))*C11,C11),C11))</f>
        <v>0</v>
      </c>
      <c r="K11" s="220"/>
      <c r="L11" s="220"/>
    </row>
    <row r="12" spans="2:18" s="46" customFormat="1" ht="19.5" customHeight="1">
      <c r="B12" s="56"/>
      <c r="C12" s="155">
        <f>IF(B12&lt;&gt;"",VLOOKUP(B12,'Tipo Projeto'!$A$3:$B$44,2,0),0)</f>
        <v>0</v>
      </c>
      <c r="D12" s="44"/>
      <c r="E12" s="44"/>
      <c r="F12" s="45"/>
      <c r="G12" s="44"/>
      <c r="H12" s="189"/>
      <c r="I12" s="149">
        <f t="shared" si="0"/>
        <v>0</v>
      </c>
      <c r="J12" s="149">
        <f t="shared" si="1"/>
        <v>0</v>
      </c>
      <c r="K12" s="44"/>
      <c r="L12" s="220"/>
    </row>
    <row r="13" spans="2:18" s="46" customFormat="1" ht="19.5" customHeight="1">
      <c r="B13" s="56"/>
      <c r="C13" s="155">
        <f>IF(B13&lt;&gt;"",VLOOKUP(B13,'Tipo Projeto'!$A$3:$B$44,2,0),0)</f>
        <v>0</v>
      </c>
      <c r="D13" s="44"/>
      <c r="E13" s="44"/>
      <c r="F13" s="45"/>
      <c r="G13" s="44"/>
      <c r="H13" s="189"/>
      <c r="I13" s="149">
        <f t="shared" si="0"/>
        <v>0</v>
      </c>
      <c r="J13" s="149">
        <f t="shared" si="1"/>
        <v>0</v>
      </c>
      <c r="K13" s="44"/>
      <c r="L13" s="220"/>
    </row>
    <row r="14" spans="2:18" s="46" customFormat="1" ht="19.5" customHeight="1">
      <c r="B14" s="56"/>
      <c r="C14" s="155">
        <f>IF(B14&lt;&gt;"",VLOOKUP(B14,'Tipo Projeto'!$A$3:$B$44,2,0),0)</f>
        <v>0</v>
      </c>
      <c r="D14" s="44"/>
      <c r="E14" s="44"/>
      <c r="F14" s="45"/>
      <c r="G14" s="44"/>
      <c r="H14" s="189"/>
      <c r="I14" s="149">
        <f t="shared" si="0"/>
        <v>0</v>
      </c>
      <c r="J14" s="149">
        <f t="shared" si="1"/>
        <v>0</v>
      </c>
      <c r="K14" s="44"/>
      <c r="L14" s="220"/>
    </row>
    <row r="15" spans="2:18" s="46" customFormat="1" ht="19.5" customHeight="1">
      <c r="B15" s="56"/>
      <c r="C15" s="155">
        <f>IF(B15&lt;&gt;"",VLOOKUP(B15,'Tipo Projeto'!$A$3:$B$44,2,0),0)</f>
        <v>0</v>
      </c>
      <c r="D15" s="44"/>
      <c r="E15" s="44"/>
      <c r="F15" s="45"/>
      <c r="G15" s="44"/>
      <c r="H15" s="189"/>
      <c r="I15" s="149">
        <f t="shared" si="0"/>
        <v>0</v>
      </c>
      <c r="J15" s="149">
        <f t="shared" si="1"/>
        <v>0</v>
      </c>
      <c r="K15" s="44"/>
      <c r="L15" s="220"/>
    </row>
    <row r="16" spans="2:18" s="46" customFormat="1" ht="19.5" customHeight="1">
      <c r="B16" s="56"/>
      <c r="C16" s="155">
        <f>IF(B16&lt;&gt;"",VLOOKUP(B16,'Tipo Projeto'!$A$3:$B$44,2,0),0)</f>
        <v>0</v>
      </c>
      <c r="D16" s="44"/>
      <c r="E16" s="44"/>
      <c r="F16" s="45"/>
      <c r="G16" s="44"/>
      <c r="H16" s="189"/>
      <c r="I16" s="149">
        <f t="shared" si="0"/>
        <v>0</v>
      </c>
      <c r="J16" s="149">
        <f t="shared" si="1"/>
        <v>0</v>
      </c>
      <c r="K16" s="44"/>
      <c r="L16" s="220"/>
    </row>
    <row r="17" spans="2:12" s="46" customFormat="1" ht="19.5" customHeight="1">
      <c r="B17" s="56"/>
      <c r="C17" s="155">
        <f>IF(B17&lt;&gt;"",VLOOKUP(B17,'Tipo Projeto'!$A$3:$B$44,2,0),0)</f>
        <v>0</v>
      </c>
      <c r="D17" s="44"/>
      <c r="E17" s="44"/>
      <c r="F17" s="45"/>
      <c r="G17" s="44"/>
      <c r="H17" s="189"/>
      <c r="I17" s="149">
        <f t="shared" si="0"/>
        <v>0</v>
      </c>
      <c r="J17" s="149">
        <f t="shared" si="1"/>
        <v>0</v>
      </c>
      <c r="K17" s="44"/>
      <c r="L17" s="220"/>
    </row>
    <row r="18" spans="2:12" s="46" customFormat="1" ht="19.5" customHeight="1">
      <c r="B18" s="56"/>
      <c r="C18" s="155">
        <f>IF(B18&lt;&gt;"",VLOOKUP(B18,'Tipo Projeto'!$A$3:$B$44,2,0),0)</f>
        <v>0</v>
      </c>
      <c r="D18" s="44"/>
      <c r="E18" s="44"/>
      <c r="F18" s="45"/>
      <c r="G18" s="44"/>
      <c r="H18" s="189"/>
      <c r="I18" s="149">
        <f t="shared" si="0"/>
        <v>0</v>
      </c>
      <c r="J18" s="149">
        <f t="shared" si="1"/>
        <v>0</v>
      </c>
      <c r="K18" s="44"/>
      <c r="L18" s="220"/>
    </row>
    <row r="19" spans="2:12" s="46" customFormat="1" ht="19.5" customHeight="1">
      <c r="B19" s="56"/>
      <c r="C19" s="155">
        <f>IF(B19&lt;&gt;"",VLOOKUP(B19,'Tipo Projeto'!$A$3:$B$44,2,0),0)</f>
        <v>0</v>
      </c>
      <c r="D19" s="44"/>
      <c r="E19" s="44"/>
      <c r="F19" s="45"/>
      <c r="G19" s="44"/>
      <c r="H19" s="189"/>
      <c r="I19" s="149">
        <f t="shared" si="0"/>
        <v>0</v>
      </c>
      <c r="J19" s="149">
        <f t="shared" si="1"/>
        <v>0</v>
      </c>
      <c r="K19" s="44"/>
      <c r="L19" s="220"/>
    </row>
    <row r="20" spans="2:12" s="46" customFormat="1" ht="19.5" customHeight="1">
      <c r="B20" s="56"/>
      <c r="C20" s="155">
        <f>IF(B20&lt;&gt;"",VLOOKUP(B20,'Tipo Projeto'!$A$3:$B$44,2,0),0)</f>
        <v>0</v>
      </c>
      <c r="D20" s="44"/>
      <c r="E20" s="44"/>
      <c r="F20" s="45"/>
      <c r="G20" s="44"/>
      <c r="H20" s="189"/>
      <c r="I20" s="149">
        <f t="shared" si="0"/>
        <v>0</v>
      </c>
      <c r="J20" s="149">
        <f t="shared" si="1"/>
        <v>0</v>
      </c>
      <c r="K20" s="44"/>
      <c r="L20" s="220"/>
    </row>
    <row r="21" spans="2:12" s="46" customFormat="1" ht="19.5" customHeight="1">
      <c r="B21" s="56"/>
      <c r="C21" s="155">
        <f>IF(B21&lt;&gt;"",VLOOKUP(B21,'Tipo Projeto'!$A$3:$B$44,2,0),0)</f>
        <v>0</v>
      </c>
      <c r="D21" s="44"/>
      <c r="E21" s="44"/>
      <c r="F21" s="45"/>
      <c r="G21" s="44"/>
      <c r="H21" s="189"/>
      <c r="I21" s="149">
        <f t="shared" si="0"/>
        <v>0</v>
      </c>
      <c r="J21" s="149">
        <f t="shared" si="1"/>
        <v>0</v>
      </c>
      <c r="K21" s="44"/>
      <c r="L21" s="220"/>
    </row>
    <row r="22" spans="2:12" s="46" customFormat="1" ht="19.5" customHeight="1">
      <c r="B22" s="56"/>
      <c r="C22" s="155">
        <f>IF(B22&lt;&gt;"",VLOOKUP(B22,'Tipo Projeto'!$A$3:$B$44,2,0),0)</f>
        <v>0</v>
      </c>
      <c r="D22" s="44"/>
      <c r="E22" s="44"/>
      <c r="F22" s="45"/>
      <c r="G22" s="44"/>
      <c r="H22" s="189"/>
      <c r="I22" s="149">
        <f t="shared" si="0"/>
        <v>0</v>
      </c>
      <c r="J22" s="149">
        <f t="shared" si="1"/>
        <v>0</v>
      </c>
      <c r="K22" s="44"/>
      <c r="L22" s="220"/>
    </row>
    <row r="23" spans="2:12" s="46" customFormat="1" ht="19.5" customHeight="1">
      <c r="B23" s="56"/>
      <c r="C23" s="155">
        <f>IF(B23&lt;&gt;"",VLOOKUP(B23,'Tipo Projeto'!$A$3:$B$44,2,0),0)</f>
        <v>0</v>
      </c>
      <c r="D23" s="44"/>
      <c r="E23" s="44"/>
      <c r="F23" s="45"/>
      <c r="G23" s="44"/>
      <c r="H23" s="189"/>
      <c r="I23" s="149">
        <f t="shared" si="0"/>
        <v>0</v>
      </c>
      <c r="J23" s="149">
        <f t="shared" si="1"/>
        <v>0</v>
      </c>
      <c r="K23" s="44"/>
      <c r="L23" s="220"/>
    </row>
    <row r="24" spans="2:12" s="46" customFormat="1" ht="19.5" customHeight="1">
      <c r="B24" s="56"/>
      <c r="C24" s="155">
        <f>IF(B24&lt;&gt;"",VLOOKUP(B24,'Tipo Projeto'!$A$3:$B$44,2,0),0)</f>
        <v>0</v>
      </c>
      <c r="D24" s="44"/>
      <c r="E24" s="44"/>
      <c r="F24" s="45"/>
      <c r="G24" s="44"/>
      <c r="H24" s="189"/>
      <c r="I24" s="149">
        <f t="shared" si="0"/>
        <v>0</v>
      </c>
      <c r="J24" s="149">
        <f t="shared" si="1"/>
        <v>0</v>
      </c>
      <c r="K24" s="44"/>
      <c r="L24" s="220"/>
    </row>
    <row r="25" spans="2:12" s="46" customFormat="1" ht="19.5" customHeight="1">
      <c r="B25" s="56"/>
      <c r="C25" s="155">
        <f>IF(B25&lt;&gt;"",VLOOKUP(B25,'Tipo Projeto'!$A$3:$B$44,2,0),0)</f>
        <v>0</v>
      </c>
      <c r="D25" s="44"/>
      <c r="E25" s="44"/>
      <c r="F25" s="45"/>
      <c r="G25" s="44"/>
      <c r="H25" s="189"/>
      <c r="I25" s="149">
        <f t="shared" si="0"/>
        <v>0</v>
      </c>
      <c r="J25" s="149">
        <f t="shared" si="1"/>
        <v>0</v>
      </c>
      <c r="K25" s="44"/>
      <c r="L25" s="220"/>
    </row>
    <row r="26" spans="2:12" s="46" customFormat="1" ht="19.5" customHeight="1">
      <c r="B26" s="56"/>
      <c r="C26" s="155">
        <f>IF(B26&lt;&gt;"",VLOOKUP(B26,'Tipo Projeto'!$A$3:$B$44,2,0),0)</f>
        <v>0</v>
      </c>
      <c r="D26" s="44"/>
      <c r="E26" s="44"/>
      <c r="F26" s="45"/>
      <c r="G26" s="44"/>
      <c r="H26" s="189"/>
      <c r="I26" s="149">
        <f t="shared" si="0"/>
        <v>0</v>
      </c>
      <c r="J26" s="149">
        <f t="shared" si="1"/>
        <v>0</v>
      </c>
      <c r="K26" s="44"/>
      <c r="L26" s="220"/>
    </row>
    <row r="27" spans="2:12" s="46" customFormat="1" ht="19.5" customHeight="1">
      <c r="B27" s="56"/>
      <c r="C27" s="155">
        <f>IF(B27&lt;&gt;"",VLOOKUP(B27,'Tipo Projeto'!$A$3:$B$44,2,0),0)</f>
        <v>0</v>
      </c>
      <c r="D27" s="44"/>
      <c r="E27" s="44"/>
      <c r="F27" s="45"/>
      <c r="G27" s="44"/>
      <c r="H27" s="189"/>
      <c r="I27" s="149">
        <f t="shared" si="0"/>
        <v>0</v>
      </c>
      <c r="J27" s="149">
        <f t="shared" si="1"/>
        <v>0</v>
      </c>
      <c r="K27" s="44"/>
      <c r="L27" s="220"/>
    </row>
    <row r="28" spans="2:12" s="46" customFormat="1" ht="19.5" customHeight="1">
      <c r="B28" s="56"/>
      <c r="C28" s="155">
        <f>IF(B28&lt;&gt;"",VLOOKUP(B28,'Tipo Projeto'!$A$3:$B$44,2,0),0)</f>
        <v>0</v>
      </c>
      <c r="D28" s="44"/>
      <c r="E28" s="44"/>
      <c r="F28" s="45"/>
      <c r="G28" s="44"/>
      <c r="H28" s="189"/>
      <c r="I28" s="149">
        <f t="shared" si="0"/>
        <v>0</v>
      </c>
      <c r="J28" s="149">
        <f t="shared" si="1"/>
        <v>0</v>
      </c>
      <c r="K28" s="44"/>
      <c r="L28" s="220"/>
    </row>
    <row r="29" spans="2:12" s="46" customFormat="1" ht="19.5" customHeight="1">
      <c r="B29" s="56"/>
      <c r="C29" s="155">
        <f>IF(B29&lt;&gt;"",VLOOKUP(B29,'Tipo Projeto'!$A$3:$B$44,2,0),0)</f>
        <v>0</v>
      </c>
      <c r="D29" s="44"/>
      <c r="E29" s="44"/>
      <c r="F29" s="45"/>
      <c r="G29" s="44"/>
      <c r="H29" s="189"/>
      <c r="I29" s="149">
        <f t="shared" si="0"/>
        <v>0</v>
      </c>
      <c r="J29" s="149">
        <f t="shared" si="1"/>
        <v>0</v>
      </c>
      <c r="K29" s="44"/>
      <c r="L29" s="220"/>
    </row>
    <row r="30" spans="2:12" s="46" customFormat="1" ht="19.5" customHeight="1">
      <c r="B30" s="56"/>
      <c r="C30" s="155">
        <f>IF(B30&lt;&gt;"",VLOOKUP(B30,'Tipo Projeto'!$A$3:$B$44,2,0),0)</f>
        <v>0</v>
      </c>
      <c r="D30" s="44"/>
      <c r="E30" s="44"/>
      <c r="F30" s="45"/>
      <c r="G30" s="44"/>
      <c r="H30" s="189"/>
      <c r="I30" s="149">
        <f t="shared" si="0"/>
        <v>0</v>
      </c>
      <c r="J30" s="149">
        <f t="shared" si="1"/>
        <v>0</v>
      </c>
      <c r="K30" s="44"/>
      <c r="L30" s="220"/>
    </row>
    <row r="31" spans="2:12" s="46" customFormat="1" ht="19.5" customHeight="1">
      <c r="B31" s="56"/>
      <c r="C31" s="155">
        <f>IF(B31&lt;&gt;"",VLOOKUP(B31,'Tipo Projeto'!$A$3:$B$44,2,0),0)</f>
        <v>0</v>
      </c>
      <c r="D31" s="44"/>
      <c r="E31" s="44"/>
      <c r="F31" s="45"/>
      <c r="G31" s="44"/>
      <c r="H31" s="189"/>
      <c r="I31" s="149">
        <f t="shared" si="0"/>
        <v>0</v>
      </c>
      <c r="J31" s="149">
        <f t="shared" si="1"/>
        <v>0</v>
      </c>
      <c r="K31" s="44"/>
      <c r="L31" s="220"/>
    </row>
    <row r="32" spans="2:12" s="46" customFormat="1" ht="19.5" customHeight="1">
      <c r="B32" s="56"/>
      <c r="C32" s="155">
        <f>IF(B32&lt;&gt;"",VLOOKUP(B32,'Tipo Projeto'!$A$3:$B$44,2,0),0)</f>
        <v>0</v>
      </c>
      <c r="D32" s="44"/>
      <c r="E32" s="44"/>
      <c r="F32" s="45"/>
      <c r="G32" s="44"/>
      <c r="H32" s="189"/>
      <c r="I32" s="149">
        <f t="shared" si="0"/>
        <v>0</v>
      </c>
      <c r="J32" s="149">
        <f t="shared" si="1"/>
        <v>0</v>
      </c>
      <c r="K32" s="44"/>
      <c r="L32" s="220"/>
    </row>
    <row r="33" spans="2:12" s="46" customFormat="1" ht="19.5" customHeight="1">
      <c r="B33" s="56"/>
      <c r="C33" s="155">
        <f>IF(B33&lt;&gt;"",VLOOKUP(B33,'Tipo Projeto'!$A$3:$B$44,2,0),0)</f>
        <v>0</v>
      </c>
      <c r="D33" s="44"/>
      <c r="E33" s="44"/>
      <c r="F33" s="45"/>
      <c r="G33" s="44"/>
      <c r="H33" s="189"/>
      <c r="I33" s="149">
        <f t="shared" si="0"/>
        <v>0</v>
      </c>
      <c r="J33" s="149">
        <f t="shared" si="1"/>
        <v>0</v>
      </c>
      <c r="K33" s="44"/>
      <c r="L33" s="220"/>
    </row>
    <row r="34" spans="2:12" s="46" customFormat="1" ht="19.5" customHeight="1">
      <c r="B34" s="56"/>
      <c r="C34" s="155">
        <f>IF(B34&lt;&gt;"",VLOOKUP(B34,'Tipo Projeto'!$A$3:$B$44,2,0),0)</f>
        <v>0</v>
      </c>
      <c r="D34" s="44"/>
      <c r="E34" s="44"/>
      <c r="F34" s="45"/>
      <c r="G34" s="44"/>
      <c r="H34" s="189"/>
      <c r="I34" s="149">
        <f t="shared" si="0"/>
        <v>0</v>
      </c>
      <c r="J34" s="149">
        <f t="shared" si="1"/>
        <v>0</v>
      </c>
      <c r="K34" s="44"/>
      <c r="L34" s="220"/>
    </row>
    <row r="35" spans="2:12" s="46" customFormat="1" ht="19.5" customHeight="1">
      <c r="B35" s="56"/>
      <c r="C35" s="155">
        <f>IF(B35&lt;&gt;"",VLOOKUP(B35,'Tipo Projeto'!$A$3:$B$44,2,0),0)</f>
        <v>0</v>
      </c>
      <c r="D35" s="44"/>
      <c r="E35" s="44"/>
      <c r="F35" s="45"/>
      <c r="G35" s="44"/>
      <c r="H35" s="189"/>
      <c r="I35" s="149">
        <f t="shared" si="0"/>
        <v>0</v>
      </c>
      <c r="J35" s="149">
        <f t="shared" si="1"/>
        <v>0</v>
      </c>
      <c r="K35" s="44"/>
      <c r="L35" s="220"/>
    </row>
    <row r="36" spans="2:12" s="46" customFormat="1" ht="19.5" customHeight="1">
      <c r="B36" s="56"/>
      <c r="C36" s="155">
        <f>IF(B36&lt;&gt;"",VLOOKUP(B36,'Tipo Projeto'!$A$3:$B$44,2,0),0)</f>
        <v>0</v>
      </c>
      <c r="D36" s="44"/>
      <c r="E36" s="44"/>
      <c r="F36" s="45"/>
      <c r="G36" s="44"/>
      <c r="H36" s="189"/>
      <c r="I36" s="149">
        <f t="shared" si="0"/>
        <v>0</v>
      </c>
      <c r="J36" s="149">
        <f t="shared" si="1"/>
        <v>0</v>
      </c>
      <c r="K36" s="44"/>
      <c r="L36" s="220"/>
    </row>
    <row r="37" spans="2:12" s="46" customFormat="1" ht="19.5" customHeight="1">
      <c r="B37" s="56"/>
      <c r="C37" s="155">
        <f>IF(B37&lt;&gt;"",VLOOKUP(B37,'Tipo Projeto'!$A$3:$B$44,2,0),0)</f>
        <v>0</v>
      </c>
      <c r="D37" s="44"/>
      <c r="E37" s="44"/>
      <c r="F37" s="45"/>
      <c r="G37" s="44"/>
      <c r="H37" s="189"/>
      <c r="I37" s="149">
        <f t="shared" si="0"/>
        <v>0</v>
      </c>
      <c r="J37" s="149">
        <f t="shared" si="1"/>
        <v>0</v>
      </c>
      <c r="K37" s="44"/>
      <c r="L37" s="220"/>
    </row>
    <row r="38" spans="2:12" s="46" customFormat="1" ht="19.5" customHeight="1">
      <c r="B38" s="56"/>
      <c r="C38" s="155">
        <f>IF(B38&lt;&gt;"",VLOOKUP(B38,'Tipo Projeto'!$A$3:$B$44,2,0),0)</f>
        <v>0</v>
      </c>
      <c r="D38" s="44"/>
      <c r="E38" s="44"/>
      <c r="F38" s="45"/>
      <c r="G38" s="44"/>
      <c r="H38" s="189"/>
      <c r="I38" s="149">
        <f t="shared" si="0"/>
        <v>0</v>
      </c>
      <c r="J38" s="149">
        <f t="shared" si="1"/>
        <v>0</v>
      </c>
      <c r="K38" s="44"/>
      <c r="L38" s="220"/>
    </row>
    <row r="39" spans="2:12" s="46" customFormat="1" ht="19.5" customHeight="1">
      <c r="B39" s="56"/>
      <c r="C39" s="155">
        <f>IF(B39&lt;&gt;"",VLOOKUP(B39,'Tipo Projeto'!$A$3:$B$44,2,0),0)</f>
        <v>0</v>
      </c>
      <c r="D39" s="44"/>
      <c r="E39" s="44"/>
      <c r="F39" s="45"/>
      <c r="G39" s="44"/>
      <c r="H39" s="189"/>
      <c r="I39" s="149">
        <f t="shared" si="0"/>
        <v>0</v>
      </c>
      <c r="J39" s="149">
        <f t="shared" si="1"/>
        <v>0</v>
      </c>
      <c r="K39" s="44"/>
      <c r="L39" s="220"/>
    </row>
    <row r="40" spans="2:12" s="46" customFormat="1" ht="19.5" customHeight="1">
      <c r="B40" s="56"/>
      <c r="C40" s="155">
        <f>IF(B40&lt;&gt;"",VLOOKUP(B40,'Tipo Projeto'!$A$3:$B$44,2,0),0)</f>
        <v>0</v>
      </c>
      <c r="D40" s="44"/>
      <c r="E40" s="44"/>
      <c r="F40" s="45"/>
      <c r="G40" s="44"/>
      <c r="H40" s="189"/>
      <c r="I40" s="149">
        <f t="shared" si="0"/>
        <v>0</v>
      </c>
      <c r="J40" s="149">
        <f t="shared" si="1"/>
        <v>0</v>
      </c>
      <c r="K40" s="44"/>
      <c r="L40" s="220"/>
    </row>
    <row r="41" spans="2:12" s="46" customFormat="1" ht="19.5" customHeight="1">
      <c r="B41" s="56"/>
      <c r="C41" s="155">
        <f>IF(B41&lt;&gt;"",VLOOKUP(B41,'Tipo Projeto'!$A$3:$B$44,2,0),0)</f>
        <v>0</v>
      </c>
      <c r="D41" s="44"/>
      <c r="E41" s="44"/>
      <c r="F41" s="45"/>
      <c r="G41" s="44"/>
      <c r="H41" s="189"/>
      <c r="I41" s="149">
        <f t="shared" si="0"/>
        <v>0</v>
      </c>
      <c r="J41" s="149">
        <f t="shared" si="1"/>
        <v>0</v>
      </c>
      <c r="K41" s="44"/>
      <c r="L41" s="220"/>
    </row>
    <row r="42" spans="2:12" s="46" customFormat="1" ht="19.5" customHeight="1">
      <c r="B42" s="56"/>
      <c r="C42" s="155">
        <f>IF(B42&lt;&gt;"",VLOOKUP(B42,'Tipo Projeto'!$A$3:$B$44,2,0),0)</f>
        <v>0</v>
      </c>
      <c r="D42" s="44"/>
      <c r="E42" s="44"/>
      <c r="F42" s="45"/>
      <c r="G42" s="44"/>
      <c r="H42" s="189"/>
      <c r="I42" s="149">
        <f t="shared" si="0"/>
        <v>0</v>
      </c>
      <c r="J42" s="149">
        <f t="shared" si="1"/>
        <v>0</v>
      </c>
      <c r="K42" s="44"/>
      <c r="L42" s="220"/>
    </row>
    <row r="43" spans="2:12" s="46" customFormat="1" ht="19.5" customHeight="1">
      <c r="B43" s="56"/>
      <c r="C43" s="155">
        <f>IF(B43&lt;&gt;"",VLOOKUP(B43,'Tipo Projeto'!$A$3:$B$44,2,0),0)</f>
        <v>0</v>
      </c>
      <c r="D43" s="44"/>
      <c r="E43" s="44"/>
      <c r="F43" s="45"/>
      <c r="G43" s="44"/>
      <c r="H43" s="189"/>
      <c r="I43" s="149">
        <f t="shared" si="0"/>
        <v>0</v>
      </c>
      <c r="J43" s="149">
        <f t="shared" si="1"/>
        <v>0</v>
      </c>
      <c r="K43" s="44"/>
      <c r="L43" s="220"/>
    </row>
    <row r="44" spans="2:12" s="46" customFormat="1" ht="19.5" customHeight="1">
      <c r="B44" s="56"/>
      <c r="C44" s="155">
        <f>IF(B44&lt;&gt;"",VLOOKUP(B44,'Tipo Projeto'!$A$3:$B$44,2,0),0)</f>
        <v>0</v>
      </c>
      <c r="D44" s="44"/>
      <c r="E44" s="44"/>
      <c r="F44" s="45"/>
      <c r="G44" s="44"/>
      <c r="H44" s="189"/>
      <c r="I44" s="149">
        <f t="shared" si="0"/>
        <v>0</v>
      </c>
      <c r="J44" s="149">
        <f t="shared" si="1"/>
        <v>0</v>
      </c>
      <c r="K44" s="44"/>
      <c r="L44" s="220"/>
    </row>
    <row r="45" spans="2:12" s="46" customFormat="1" ht="19.5" customHeight="1">
      <c r="B45" s="56"/>
      <c r="C45" s="155">
        <f>IF(B45&lt;&gt;"",VLOOKUP(B45,'Tipo Projeto'!$A$3:$B$44,2,0),0)</f>
        <v>0</v>
      </c>
      <c r="D45" s="44"/>
      <c r="E45" s="44"/>
      <c r="F45" s="45"/>
      <c r="G45" s="44"/>
      <c r="H45" s="189"/>
      <c r="I45" s="149">
        <f t="shared" si="0"/>
        <v>0</v>
      </c>
      <c r="J45" s="149">
        <f t="shared" si="1"/>
        <v>0</v>
      </c>
      <c r="K45" s="44"/>
      <c r="L45" s="220"/>
    </row>
    <row r="46" spans="2:12" s="46" customFormat="1" ht="19.5" customHeight="1">
      <c r="B46" s="56"/>
      <c r="C46" s="155">
        <f>IF(B46&lt;&gt;"",VLOOKUP(B46,'Tipo Projeto'!$A$3:$B$44,2,0),0)</f>
        <v>0</v>
      </c>
      <c r="D46" s="44"/>
      <c r="E46" s="44"/>
      <c r="F46" s="45"/>
      <c r="G46" s="44"/>
      <c r="H46" s="189"/>
      <c r="I46" s="149">
        <f t="shared" si="0"/>
        <v>0</v>
      </c>
      <c r="J46" s="149">
        <f t="shared" si="1"/>
        <v>0</v>
      </c>
      <c r="K46" s="44"/>
      <c r="L46" s="220"/>
    </row>
    <row r="47" spans="2:12" s="46" customFormat="1" ht="19.5" customHeight="1">
      <c r="B47" s="56"/>
      <c r="C47" s="155">
        <f>IF(B47&lt;&gt;"",VLOOKUP(B47,'Tipo Projeto'!$A$3:$B$44,2,0),0)</f>
        <v>0</v>
      </c>
      <c r="D47" s="44"/>
      <c r="E47" s="44"/>
      <c r="F47" s="45"/>
      <c r="G47" s="44"/>
      <c r="H47" s="189"/>
      <c r="I47" s="149">
        <f t="shared" si="0"/>
        <v>0</v>
      </c>
      <c r="J47" s="149">
        <f t="shared" si="1"/>
        <v>0</v>
      </c>
      <c r="K47" s="44"/>
      <c r="L47" s="220"/>
    </row>
    <row r="48" spans="2:12" s="46" customFormat="1" ht="19.5" customHeight="1">
      <c r="B48" s="56"/>
      <c r="C48" s="155">
        <f>IF(B48&lt;&gt;"",VLOOKUP(B48,'Tipo Projeto'!$A$3:$B$44,2,0),0)</f>
        <v>0</v>
      </c>
      <c r="D48" s="44"/>
      <c r="E48" s="44"/>
      <c r="F48" s="45"/>
      <c r="G48" s="44"/>
      <c r="H48" s="189"/>
      <c r="I48" s="149">
        <f t="shared" si="0"/>
        <v>0</v>
      </c>
      <c r="J48" s="149">
        <f t="shared" si="1"/>
        <v>0</v>
      </c>
      <c r="K48" s="44"/>
      <c r="L48" s="220"/>
    </row>
    <row r="49" spans="2:12" s="46" customFormat="1" ht="19.5" customHeight="1">
      <c r="B49" s="56"/>
      <c r="C49" s="155">
        <f>IF(B49&lt;&gt;"",VLOOKUP(B49,'Tipo Projeto'!$A$3:$B$44,2,0),0)</f>
        <v>0</v>
      </c>
      <c r="D49" s="44"/>
      <c r="E49" s="44"/>
      <c r="F49" s="45"/>
      <c r="G49" s="44"/>
      <c r="H49" s="189"/>
      <c r="I49" s="149">
        <f t="shared" si="0"/>
        <v>0</v>
      </c>
      <c r="J49" s="149">
        <f t="shared" si="1"/>
        <v>0</v>
      </c>
      <c r="K49" s="44"/>
      <c r="L49" s="220"/>
    </row>
    <row r="50" spans="2:12" s="46" customFormat="1" ht="19.5" customHeight="1">
      <c r="B50" s="56"/>
      <c r="C50" s="155">
        <f>IF(B50&lt;&gt;"",VLOOKUP(B50,'Tipo Projeto'!$A$3:$B$44,2,0),0)</f>
        <v>0</v>
      </c>
      <c r="D50" s="44"/>
      <c r="E50" s="44"/>
      <c r="F50" s="45"/>
      <c r="G50" s="44"/>
      <c r="H50" s="189"/>
      <c r="I50" s="149">
        <f t="shared" si="0"/>
        <v>0</v>
      </c>
      <c r="J50" s="149">
        <f t="shared" si="1"/>
        <v>0</v>
      </c>
      <c r="K50" s="44"/>
      <c r="L50" s="220"/>
    </row>
    <row r="51" spans="2:12" s="46" customFormat="1" ht="19.5" customHeight="1">
      <c r="B51" s="56"/>
      <c r="C51" s="155">
        <f>IF(B51&lt;&gt;"",VLOOKUP(B51,'Tipo Projeto'!$A$3:$B$44,2,0),0)</f>
        <v>0</v>
      </c>
      <c r="D51" s="44"/>
      <c r="E51" s="44"/>
      <c r="F51" s="45"/>
      <c r="G51" s="44"/>
      <c r="H51" s="189"/>
      <c r="I51" s="149">
        <f t="shared" si="0"/>
        <v>0</v>
      </c>
      <c r="J51" s="149">
        <f t="shared" si="1"/>
        <v>0</v>
      </c>
      <c r="K51" s="44"/>
      <c r="L51" s="220"/>
    </row>
    <row r="52" spans="2:12" s="46" customFormat="1" ht="19.5" customHeight="1">
      <c r="B52" s="56"/>
      <c r="C52" s="155">
        <f>IF(B52&lt;&gt;"",VLOOKUP(B52,'Tipo Projeto'!$A$3:$B$44,2,0),0)</f>
        <v>0</v>
      </c>
      <c r="D52" s="44"/>
      <c r="E52" s="44"/>
      <c r="F52" s="45"/>
      <c r="G52" s="44"/>
      <c r="H52" s="189"/>
      <c r="I52" s="149">
        <f t="shared" si="0"/>
        <v>0</v>
      </c>
      <c r="J52" s="149">
        <f t="shared" si="1"/>
        <v>0</v>
      </c>
      <c r="K52" s="44"/>
      <c r="L52" s="220"/>
    </row>
    <row r="53" spans="2:12" s="46" customFormat="1" ht="19.5" customHeight="1">
      <c r="B53" s="56"/>
      <c r="C53" s="155">
        <f>IF(B53&lt;&gt;"",VLOOKUP(B53,'Tipo Projeto'!$A$3:$B$44,2,0),0)</f>
        <v>0</v>
      </c>
      <c r="D53" s="44"/>
      <c r="E53" s="44"/>
      <c r="F53" s="45"/>
      <c r="G53" s="44"/>
      <c r="H53" s="189"/>
      <c r="I53" s="149">
        <f t="shared" si="0"/>
        <v>0</v>
      </c>
      <c r="J53" s="149">
        <f t="shared" si="1"/>
        <v>0</v>
      </c>
      <c r="K53" s="44"/>
      <c r="L53" s="220"/>
    </row>
    <row r="54" spans="2:12" s="46" customFormat="1" ht="19.5" customHeight="1">
      <c r="B54" s="56"/>
      <c r="C54" s="155">
        <f>IF(B54&lt;&gt;"",VLOOKUP(B54,'Tipo Projeto'!$A$3:$B$44,2,0),0)</f>
        <v>0</v>
      </c>
      <c r="D54" s="44"/>
      <c r="E54" s="44"/>
      <c r="F54" s="45"/>
      <c r="G54" s="44"/>
      <c r="H54" s="189"/>
      <c r="I54" s="149">
        <f t="shared" si="0"/>
        <v>0</v>
      </c>
      <c r="J54" s="149">
        <f t="shared" si="1"/>
        <v>0</v>
      </c>
      <c r="K54" s="44"/>
      <c r="L54" s="220"/>
    </row>
    <row r="55" spans="2:12" s="46" customFormat="1" ht="19.5" customHeight="1">
      <c r="B55" s="56"/>
      <c r="C55" s="155">
        <f>IF(B55&lt;&gt;"",VLOOKUP(B55,'Tipo Projeto'!$A$3:$B$44,2,0),0)</f>
        <v>0</v>
      </c>
      <c r="D55" s="44"/>
      <c r="E55" s="44"/>
      <c r="F55" s="45"/>
      <c r="G55" s="44"/>
      <c r="H55" s="189"/>
      <c r="I55" s="149">
        <f t="shared" si="0"/>
        <v>0</v>
      </c>
      <c r="J55" s="149">
        <f t="shared" si="1"/>
        <v>0</v>
      </c>
      <c r="K55" s="44"/>
      <c r="L55" s="220"/>
    </row>
    <row r="56" spans="2:12" s="46" customFormat="1" ht="19.5" customHeight="1">
      <c r="B56" s="56"/>
      <c r="C56" s="155">
        <f>IF(B56&lt;&gt;"",VLOOKUP(B56,'Tipo Projeto'!$A$3:$B$44,2,0),0)</f>
        <v>0</v>
      </c>
      <c r="D56" s="44"/>
      <c r="E56" s="44"/>
      <c r="F56" s="45"/>
      <c r="G56" s="44"/>
      <c r="H56" s="189"/>
      <c r="I56" s="149">
        <f t="shared" si="0"/>
        <v>0</v>
      </c>
      <c r="J56" s="149">
        <f t="shared" si="1"/>
        <v>0</v>
      </c>
      <c r="K56" s="44"/>
      <c r="L56" s="220"/>
    </row>
    <row r="57" spans="2:12" s="46" customFormat="1" ht="19.5" customHeight="1">
      <c r="B57" s="56"/>
      <c r="C57" s="155">
        <f>IF(B57&lt;&gt;"",VLOOKUP(B57,'Tipo Projeto'!$A$3:$B$44,2,0),0)</f>
        <v>0</v>
      </c>
      <c r="D57" s="44"/>
      <c r="E57" s="44"/>
      <c r="F57" s="45"/>
      <c r="G57" s="44"/>
      <c r="H57" s="189"/>
      <c r="I57" s="149">
        <f t="shared" si="0"/>
        <v>0</v>
      </c>
      <c r="J57" s="149">
        <f t="shared" si="1"/>
        <v>0</v>
      </c>
      <c r="K57" s="44"/>
      <c r="L57" s="220"/>
    </row>
    <row r="58" spans="2:12" s="46" customFormat="1" ht="19.5" customHeight="1">
      <c r="B58" s="56"/>
      <c r="C58" s="155">
        <f>IF(B58&lt;&gt;"",VLOOKUP(B58,'Tipo Projeto'!$A$3:$B$44,2,0),0)</f>
        <v>0</v>
      </c>
      <c r="D58" s="44"/>
      <c r="E58" s="44"/>
      <c r="F58" s="45"/>
      <c r="G58" s="44"/>
      <c r="H58" s="189"/>
      <c r="I58" s="149">
        <f t="shared" si="0"/>
        <v>0</v>
      </c>
      <c r="J58" s="149">
        <f t="shared" si="1"/>
        <v>0</v>
      </c>
      <c r="K58" s="44"/>
      <c r="L58" s="220"/>
    </row>
    <row r="59" spans="2:12" s="46" customFormat="1" ht="19.5" customHeight="1">
      <c r="B59" s="56"/>
      <c r="C59" s="155">
        <f>IF(B59&lt;&gt;"",VLOOKUP(B59,'Tipo Projeto'!$A$3:$B$44,2,0),0)</f>
        <v>0</v>
      </c>
      <c r="D59" s="44"/>
      <c r="E59" s="44"/>
      <c r="F59" s="45"/>
      <c r="G59" s="44"/>
      <c r="H59" s="189"/>
      <c r="I59" s="149">
        <f t="shared" si="0"/>
        <v>0</v>
      </c>
      <c r="J59" s="149">
        <f t="shared" si="1"/>
        <v>0</v>
      </c>
      <c r="K59" s="44"/>
      <c r="L59" s="220"/>
    </row>
    <row r="60" spans="2:12" s="46" customFormat="1" ht="19.5" customHeight="1">
      <c r="B60" s="56"/>
      <c r="C60" s="155">
        <f>IF(B60&lt;&gt;"",VLOOKUP(B60,'Tipo Projeto'!$A$3:$B$44,2,0),0)</f>
        <v>0</v>
      </c>
      <c r="D60" s="44"/>
      <c r="E60" s="44"/>
      <c r="F60" s="45"/>
      <c r="G60" s="44"/>
      <c r="H60" s="189"/>
      <c r="I60" s="149">
        <f t="shared" si="0"/>
        <v>0</v>
      </c>
      <c r="J60" s="149">
        <f t="shared" si="1"/>
        <v>0</v>
      </c>
      <c r="K60" s="44"/>
      <c r="L60" s="220"/>
    </row>
    <row r="61" spans="2:12" s="46" customFormat="1" ht="19.5" customHeight="1">
      <c r="B61" s="56"/>
      <c r="C61" s="155">
        <f>IF(B61&lt;&gt;"",VLOOKUP(B61,'Tipo Projeto'!$A$3:$B$44,2,0),0)</f>
        <v>0</v>
      </c>
      <c r="D61" s="44"/>
      <c r="E61" s="44"/>
      <c r="F61" s="45"/>
      <c r="G61" s="44"/>
      <c r="H61" s="189"/>
      <c r="I61" s="149">
        <f t="shared" si="0"/>
        <v>0</v>
      </c>
      <c r="J61" s="149">
        <f t="shared" si="1"/>
        <v>0</v>
      </c>
      <c r="K61" s="44"/>
      <c r="L61" s="220"/>
    </row>
    <row r="62" spans="2:12" s="46" customFormat="1" ht="19.5" customHeight="1">
      <c r="B62" s="56"/>
      <c r="C62" s="155">
        <f>IF(B62&lt;&gt;"",VLOOKUP(B62,'Tipo Projeto'!$A$3:$B$44,2,0),0)</f>
        <v>0</v>
      </c>
      <c r="D62" s="44"/>
      <c r="E62" s="44"/>
      <c r="F62" s="45"/>
      <c r="G62" s="44"/>
      <c r="H62" s="189"/>
      <c r="I62" s="149">
        <f t="shared" si="0"/>
        <v>0</v>
      </c>
      <c r="J62" s="149">
        <f t="shared" si="1"/>
        <v>0</v>
      </c>
      <c r="K62" s="44"/>
      <c r="L62" s="220"/>
    </row>
    <row r="63" spans="2:12" s="46" customFormat="1" ht="19.5" customHeight="1">
      <c r="B63" s="56"/>
      <c r="C63" s="155">
        <f>IF(B63&lt;&gt;"",VLOOKUP(B63,'Tipo Projeto'!$A$3:$B$44,2,0),0)</f>
        <v>0</v>
      </c>
      <c r="D63" s="44"/>
      <c r="E63" s="44"/>
      <c r="F63" s="45"/>
      <c r="G63" s="44"/>
      <c r="H63" s="189"/>
      <c r="I63" s="149">
        <f t="shared" si="0"/>
        <v>0</v>
      </c>
      <c r="J63" s="149">
        <f t="shared" si="1"/>
        <v>0</v>
      </c>
      <c r="K63" s="44"/>
      <c r="L63" s="220"/>
    </row>
    <row r="64" spans="2:12" s="46" customFormat="1" ht="19.5" customHeight="1">
      <c r="B64" s="56"/>
      <c r="C64" s="155">
        <f>IF(B64&lt;&gt;"",VLOOKUP(B64,'Tipo Projeto'!$A$3:$B$44,2,0),0)</f>
        <v>0</v>
      </c>
      <c r="D64" s="44"/>
      <c r="E64" s="44"/>
      <c r="F64" s="45"/>
      <c r="G64" s="44"/>
      <c r="H64" s="189"/>
      <c r="I64" s="149">
        <f t="shared" si="0"/>
        <v>0</v>
      </c>
      <c r="J64" s="149">
        <f t="shared" si="1"/>
        <v>0</v>
      </c>
      <c r="K64" s="44"/>
      <c r="L64" s="220"/>
    </row>
    <row r="65" spans="2:12" s="46" customFormat="1" ht="19.5" customHeight="1">
      <c r="B65" s="56"/>
      <c r="C65" s="155">
        <f>IF(B65&lt;&gt;"",VLOOKUP(B65,'Tipo Projeto'!$A$3:$B$44,2,0),0)</f>
        <v>0</v>
      </c>
      <c r="D65" s="44"/>
      <c r="E65" s="44"/>
      <c r="F65" s="45"/>
      <c r="G65" s="44"/>
      <c r="H65" s="189"/>
      <c r="I65" s="149">
        <f t="shared" si="0"/>
        <v>0</v>
      </c>
      <c r="J65" s="149">
        <f t="shared" si="1"/>
        <v>0</v>
      </c>
      <c r="K65" s="44"/>
      <c r="L65" s="220"/>
    </row>
    <row r="66" spans="2:12" s="46" customFormat="1" ht="19.5" customHeight="1">
      <c r="B66" s="56"/>
      <c r="C66" s="155">
        <f>IF(B66&lt;&gt;"",VLOOKUP(B66,'Tipo Projeto'!$A$3:$B$44,2,0),0)</f>
        <v>0</v>
      </c>
      <c r="D66" s="44"/>
      <c r="E66" s="44"/>
      <c r="F66" s="45"/>
      <c r="G66" s="44"/>
      <c r="H66" s="189"/>
      <c r="I66" s="149">
        <f t="shared" si="0"/>
        <v>0</v>
      </c>
      <c r="J66" s="149">
        <f t="shared" si="1"/>
        <v>0</v>
      </c>
      <c r="K66" s="44"/>
      <c r="L66" s="220"/>
    </row>
    <row r="67" spans="2:12" s="46" customFormat="1" ht="19.5" customHeight="1">
      <c r="B67" s="56"/>
      <c r="C67" s="155">
        <f>IF(B67&lt;&gt;"",VLOOKUP(B67,'Tipo Projeto'!$A$3:$B$44,2,0),0)</f>
        <v>0</v>
      </c>
      <c r="D67" s="44"/>
      <c r="E67" s="44"/>
      <c r="F67" s="45"/>
      <c r="G67" s="44"/>
      <c r="H67" s="189"/>
      <c r="I67" s="149">
        <f t="shared" si="0"/>
        <v>0</v>
      </c>
      <c r="J67" s="149">
        <f t="shared" si="1"/>
        <v>0</v>
      </c>
      <c r="K67" s="44"/>
      <c r="L67" s="220"/>
    </row>
    <row r="68" spans="2:12" s="46" customFormat="1" ht="19.5" customHeight="1">
      <c r="B68" s="56"/>
      <c r="C68" s="155">
        <f>IF(B68&lt;&gt;"",VLOOKUP(B68,'Tipo Projeto'!$A$3:$B$44,2,0),0)</f>
        <v>0</v>
      </c>
      <c r="D68" s="44"/>
      <c r="E68" s="44"/>
      <c r="F68" s="45"/>
      <c r="G68" s="44"/>
      <c r="H68" s="189"/>
      <c r="I68" s="149">
        <f t="shared" si="0"/>
        <v>0</v>
      </c>
      <c r="J68" s="149">
        <f t="shared" si="1"/>
        <v>0</v>
      </c>
      <c r="K68" s="44"/>
      <c r="L68" s="220"/>
    </row>
    <row r="69" spans="2:12" s="46" customFormat="1" ht="19.5" customHeight="1">
      <c r="B69" s="56"/>
      <c r="C69" s="155">
        <f>IF(B69&lt;&gt;"",VLOOKUP(B69,'Tipo Projeto'!$A$3:$B$44,2,0),0)</f>
        <v>0</v>
      </c>
      <c r="D69" s="44"/>
      <c r="E69" s="44"/>
      <c r="F69" s="45"/>
      <c r="G69" s="44"/>
      <c r="H69" s="189"/>
      <c r="I69" s="149">
        <f t="shared" si="0"/>
        <v>0</v>
      </c>
      <c r="J69" s="149">
        <f t="shared" si="1"/>
        <v>0</v>
      </c>
      <c r="K69" s="44"/>
      <c r="L69" s="220"/>
    </row>
    <row r="70" spans="2:12" s="46" customFormat="1" ht="19.5" customHeight="1">
      <c r="B70" s="56"/>
      <c r="C70" s="155">
        <f>IF(B70&lt;&gt;"",VLOOKUP(B70,'Tipo Projeto'!$A$3:$B$44,2,0),0)</f>
        <v>0</v>
      </c>
      <c r="D70" s="44"/>
      <c r="E70" s="44"/>
      <c r="F70" s="45"/>
      <c r="G70" s="44"/>
      <c r="H70" s="189"/>
      <c r="I70" s="149">
        <f t="shared" si="0"/>
        <v>0</v>
      </c>
      <c r="J70" s="149">
        <f t="shared" si="1"/>
        <v>0</v>
      </c>
      <c r="K70" s="44"/>
      <c r="L70" s="220"/>
    </row>
    <row r="71" spans="2:12" s="46" customFormat="1" ht="19.5" customHeight="1">
      <c r="B71" s="56"/>
      <c r="C71" s="155">
        <f>IF(B71&lt;&gt;"",VLOOKUP(B71,'Tipo Projeto'!$A$3:$B$44,2,0),0)</f>
        <v>0</v>
      </c>
      <c r="D71" s="44"/>
      <c r="E71" s="44"/>
      <c r="F71" s="45"/>
      <c r="G71" s="44"/>
      <c r="H71" s="189"/>
      <c r="I71" s="149">
        <f t="shared" si="0"/>
        <v>0</v>
      </c>
      <c r="J71" s="149">
        <f t="shared" si="1"/>
        <v>0</v>
      </c>
      <c r="K71" s="44"/>
      <c r="L71" s="220"/>
    </row>
    <row r="72" spans="2:12" s="46" customFormat="1" ht="19.5" customHeight="1">
      <c r="B72" s="56"/>
      <c r="C72" s="155">
        <f>IF(B72&lt;&gt;"",VLOOKUP(B72,'Tipo Projeto'!$A$3:$B$44,2,0),0)</f>
        <v>0</v>
      </c>
      <c r="D72" s="44"/>
      <c r="E72" s="44"/>
      <c r="F72" s="45"/>
      <c r="G72" s="44"/>
      <c r="H72" s="189"/>
      <c r="I72" s="149">
        <f t="shared" si="0"/>
        <v>0</v>
      </c>
      <c r="J72" s="149">
        <f t="shared" si="1"/>
        <v>0</v>
      </c>
      <c r="K72" s="44"/>
      <c r="L72" s="220"/>
    </row>
    <row r="73" spans="2:12" s="46" customFormat="1" ht="19.5" customHeight="1">
      <c r="B73" s="56"/>
      <c r="C73" s="155">
        <f>IF(B73&lt;&gt;"",VLOOKUP(B73,'Tipo Projeto'!$A$3:$B$44,2,0),0)</f>
        <v>0</v>
      </c>
      <c r="D73" s="44"/>
      <c r="E73" s="44"/>
      <c r="F73" s="45"/>
      <c r="G73" s="44"/>
      <c r="H73" s="189"/>
      <c r="I73" s="149">
        <f t="shared" si="0"/>
        <v>0</v>
      </c>
      <c r="J73" s="149">
        <f t="shared" si="1"/>
        <v>0</v>
      </c>
      <c r="K73" s="44"/>
      <c r="L73" s="220"/>
    </row>
    <row r="74" spans="2:12" s="46" customFormat="1" ht="19.5" customHeight="1">
      <c r="B74" s="56"/>
      <c r="C74" s="155">
        <f>IF(B74&lt;&gt;"",VLOOKUP(B74,'Tipo Projeto'!$A$3:$B$44,2,0),0)</f>
        <v>0</v>
      </c>
      <c r="D74" s="44"/>
      <c r="E74" s="44"/>
      <c r="F74" s="45"/>
      <c r="G74" s="44"/>
      <c r="H74" s="189"/>
      <c r="I74" s="149">
        <f t="shared" si="0"/>
        <v>0</v>
      </c>
      <c r="J74" s="149">
        <f t="shared" si="1"/>
        <v>0</v>
      </c>
      <c r="K74" s="44"/>
      <c r="L74" s="220"/>
    </row>
    <row r="75" spans="2:12" s="46" customFormat="1" ht="19.5" customHeight="1">
      <c r="B75" s="56"/>
      <c r="C75" s="155">
        <f>IF(B75&lt;&gt;"",VLOOKUP(B75,'Tipo Projeto'!$A$3:$B$44,2,0),0)</f>
        <v>0</v>
      </c>
      <c r="D75" s="44"/>
      <c r="E75" s="44"/>
      <c r="F75" s="45"/>
      <c r="G75" s="44"/>
      <c r="H75" s="189"/>
      <c r="I75" s="149">
        <f t="shared" ref="I75:I138" si="2">IF(G75="INM",C75*H75,IF(B75&lt;&gt;"Manutenção em interface",IF(B75&lt;&gt;"Desenv., Manutenção e Publicação de Páginas Estáticas",IF(G75="EE",4,IF(G75="CE",4,IF(G75="SE",5,IF(G75="ALI",7,IF(G75="AIE",5,0)))))*1,0),0))</f>
        <v>0</v>
      </c>
      <c r="J75" s="149">
        <f t="shared" ref="J75:J138" si="3">IF(G75="INM",C75*H75,IF(B75&lt;&gt;"Manutenção em interface",IF(B75&lt;&gt;"Desenv., Manutenção e Publicação de Páginas Estáticas",IF(G75="EE",4,IF(G75="CE",4,IF(G75="SE",5,IF(G75="ALI",7,IF(G75="AIE",5,0)))))*C75,C75),C75))</f>
        <v>0</v>
      </c>
      <c r="K75" s="44"/>
      <c r="L75" s="220"/>
    </row>
    <row r="76" spans="2:12" s="46" customFormat="1" ht="19.5" customHeight="1">
      <c r="B76" s="56"/>
      <c r="C76" s="155">
        <f>IF(B76&lt;&gt;"",VLOOKUP(B76,'Tipo Projeto'!$A$3:$B$44,2,0),0)</f>
        <v>0</v>
      </c>
      <c r="D76" s="44"/>
      <c r="E76" s="44"/>
      <c r="F76" s="45"/>
      <c r="G76" s="44"/>
      <c r="H76" s="189"/>
      <c r="I76" s="149">
        <f t="shared" si="2"/>
        <v>0</v>
      </c>
      <c r="J76" s="149">
        <f t="shared" si="3"/>
        <v>0</v>
      </c>
      <c r="K76" s="44"/>
      <c r="L76" s="220"/>
    </row>
    <row r="77" spans="2:12" s="46" customFormat="1" ht="19.5" customHeight="1">
      <c r="B77" s="56"/>
      <c r="C77" s="155">
        <f>IF(B77&lt;&gt;"",VLOOKUP(B77,'Tipo Projeto'!$A$3:$B$44,2,0),0)</f>
        <v>0</v>
      </c>
      <c r="D77" s="44"/>
      <c r="E77" s="44"/>
      <c r="F77" s="45"/>
      <c r="G77" s="44"/>
      <c r="H77" s="189"/>
      <c r="I77" s="149">
        <f t="shared" si="2"/>
        <v>0</v>
      </c>
      <c r="J77" s="149">
        <f t="shared" si="3"/>
        <v>0</v>
      </c>
      <c r="K77" s="44"/>
      <c r="L77" s="220"/>
    </row>
    <row r="78" spans="2:12" s="46" customFormat="1" ht="19.5" customHeight="1">
      <c r="B78" s="56"/>
      <c r="C78" s="155">
        <f>IF(B78&lt;&gt;"",VLOOKUP(B78,'Tipo Projeto'!$A$3:$B$44,2,0),0)</f>
        <v>0</v>
      </c>
      <c r="D78" s="44"/>
      <c r="E78" s="44"/>
      <c r="F78" s="45"/>
      <c r="G78" s="44"/>
      <c r="H78" s="189"/>
      <c r="I78" s="149">
        <f t="shared" si="2"/>
        <v>0</v>
      </c>
      <c r="J78" s="149">
        <f t="shared" si="3"/>
        <v>0</v>
      </c>
      <c r="K78" s="44"/>
      <c r="L78" s="220"/>
    </row>
    <row r="79" spans="2:12" s="46" customFormat="1" ht="19.5" customHeight="1">
      <c r="B79" s="56"/>
      <c r="C79" s="155">
        <f>IF(B79&lt;&gt;"",VLOOKUP(B79,'Tipo Projeto'!$A$3:$B$44,2,0),0)</f>
        <v>0</v>
      </c>
      <c r="D79" s="44"/>
      <c r="E79" s="44"/>
      <c r="F79" s="45"/>
      <c r="G79" s="44"/>
      <c r="H79" s="189"/>
      <c r="I79" s="149">
        <f t="shared" si="2"/>
        <v>0</v>
      </c>
      <c r="J79" s="149">
        <f t="shared" si="3"/>
        <v>0</v>
      </c>
      <c r="K79" s="44"/>
      <c r="L79" s="220"/>
    </row>
    <row r="80" spans="2:12" s="46" customFormat="1" ht="19.5" customHeight="1">
      <c r="B80" s="56"/>
      <c r="C80" s="155">
        <f>IF(B80&lt;&gt;"",VLOOKUP(B80,'Tipo Projeto'!$A$3:$B$44,2,0),0)</f>
        <v>0</v>
      </c>
      <c r="D80" s="44"/>
      <c r="E80" s="44"/>
      <c r="F80" s="45"/>
      <c r="G80" s="44"/>
      <c r="H80" s="189"/>
      <c r="I80" s="149">
        <f t="shared" si="2"/>
        <v>0</v>
      </c>
      <c r="J80" s="149">
        <f t="shared" si="3"/>
        <v>0</v>
      </c>
      <c r="K80" s="44"/>
      <c r="L80" s="220"/>
    </row>
    <row r="81" spans="2:12" s="46" customFormat="1" ht="19.5" customHeight="1">
      <c r="B81" s="56"/>
      <c r="C81" s="155">
        <f>IF(B81&lt;&gt;"",VLOOKUP(B81,'Tipo Projeto'!$A$3:$B$44,2,0),0)</f>
        <v>0</v>
      </c>
      <c r="D81" s="44"/>
      <c r="E81" s="44"/>
      <c r="F81" s="45"/>
      <c r="G81" s="44"/>
      <c r="H81" s="189"/>
      <c r="I81" s="149">
        <f t="shared" si="2"/>
        <v>0</v>
      </c>
      <c r="J81" s="149">
        <f t="shared" si="3"/>
        <v>0</v>
      </c>
      <c r="K81" s="44"/>
      <c r="L81" s="220"/>
    </row>
    <row r="82" spans="2:12" s="46" customFormat="1" ht="19.5" customHeight="1">
      <c r="B82" s="56"/>
      <c r="C82" s="155">
        <f>IF(B82&lt;&gt;"",VLOOKUP(B82,'Tipo Projeto'!$A$3:$B$44,2,0),0)</f>
        <v>0</v>
      </c>
      <c r="D82" s="44"/>
      <c r="E82" s="44"/>
      <c r="F82" s="45"/>
      <c r="G82" s="44"/>
      <c r="H82" s="189"/>
      <c r="I82" s="149">
        <f t="shared" si="2"/>
        <v>0</v>
      </c>
      <c r="J82" s="149">
        <f t="shared" si="3"/>
        <v>0</v>
      </c>
      <c r="K82" s="44"/>
      <c r="L82" s="220"/>
    </row>
    <row r="83" spans="2:12" s="46" customFormat="1" ht="19.5" customHeight="1">
      <c r="B83" s="56"/>
      <c r="C83" s="155">
        <f>IF(B83&lt;&gt;"",VLOOKUP(B83,'Tipo Projeto'!$A$3:$B$44,2,0),0)</f>
        <v>0</v>
      </c>
      <c r="D83" s="44"/>
      <c r="E83" s="44"/>
      <c r="F83" s="45"/>
      <c r="G83" s="44"/>
      <c r="H83" s="189"/>
      <c r="I83" s="149">
        <f t="shared" si="2"/>
        <v>0</v>
      </c>
      <c r="J83" s="149">
        <f t="shared" si="3"/>
        <v>0</v>
      </c>
      <c r="K83" s="44"/>
      <c r="L83" s="220"/>
    </row>
    <row r="84" spans="2:12" s="46" customFormat="1" ht="19.5" customHeight="1">
      <c r="B84" s="56"/>
      <c r="C84" s="155">
        <f>IF(B84&lt;&gt;"",VLOOKUP(B84,'Tipo Projeto'!$A$3:$B$44,2,0),0)</f>
        <v>0</v>
      </c>
      <c r="D84" s="44"/>
      <c r="E84" s="44"/>
      <c r="F84" s="45"/>
      <c r="G84" s="44"/>
      <c r="H84" s="189"/>
      <c r="I84" s="149">
        <f t="shared" si="2"/>
        <v>0</v>
      </c>
      <c r="J84" s="149">
        <f t="shared" si="3"/>
        <v>0</v>
      </c>
      <c r="K84" s="44"/>
      <c r="L84" s="220"/>
    </row>
    <row r="85" spans="2:12" s="46" customFormat="1" ht="19.5" customHeight="1">
      <c r="B85" s="56"/>
      <c r="C85" s="155">
        <f>IF(B85&lt;&gt;"",VLOOKUP(B85,'Tipo Projeto'!$A$3:$B$44,2,0),0)</f>
        <v>0</v>
      </c>
      <c r="D85" s="44"/>
      <c r="E85" s="44"/>
      <c r="F85" s="45"/>
      <c r="G85" s="44"/>
      <c r="H85" s="189"/>
      <c r="I85" s="149">
        <f t="shared" si="2"/>
        <v>0</v>
      </c>
      <c r="J85" s="149">
        <f t="shared" si="3"/>
        <v>0</v>
      </c>
      <c r="K85" s="44"/>
      <c r="L85" s="220"/>
    </row>
    <row r="86" spans="2:12" s="46" customFormat="1" ht="19.5" customHeight="1">
      <c r="B86" s="56"/>
      <c r="C86" s="155">
        <f>IF(B86&lt;&gt;"",VLOOKUP(B86,'Tipo Projeto'!$A$3:$B$44,2,0),0)</f>
        <v>0</v>
      </c>
      <c r="D86" s="44"/>
      <c r="E86" s="44"/>
      <c r="F86" s="45"/>
      <c r="G86" s="44"/>
      <c r="H86" s="189"/>
      <c r="I86" s="149">
        <f t="shared" si="2"/>
        <v>0</v>
      </c>
      <c r="J86" s="149">
        <f t="shared" si="3"/>
        <v>0</v>
      </c>
      <c r="K86" s="44"/>
      <c r="L86" s="220"/>
    </row>
    <row r="87" spans="2:12" s="46" customFormat="1" ht="19.5" customHeight="1">
      <c r="B87" s="56"/>
      <c r="C87" s="155">
        <f>IF(B87&lt;&gt;"",VLOOKUP(B87,'Tipo Projeto'!$A$3:$B$44,2,0),0)</f>
        <v>0</v>
      </c>
      <c r="D87" s="44"/>
      <c r="E87" s="44"/>
      <c r="F87" s="45"/>
      <c r="G87" s="44"/>
      <c r="H87" s="189"/>
      <c r="I87" s="149">
        <f t="shared" si="2"/>
        <v>0</v>
      </c>
      <c r="J87" s="149">
        <f t="shared" si="3"/>
        <v>0</v>
      </c>
      <c r="K87" s="44"/>
      <c r="L87" s="220"/>
    </row>
    <row r="88" spans="2:12" s="46" customFormat="1" ht="19.5" customHeight="1">
      <c r="B88" s="56"/>
      <c r="C88" s="155">
        <f>IF(B88&lt;&gt;"",VLOOKUP(B88,'Tipo Projeto'!$A$3:$B$44,2,0),0)</f>
        <v>0</v>
      </c>
      <c r="D88" s="44"/>
      <c r="E88" s="44"/>
      <c r="F88" s="45"/>
      <c r="G88" s="44"/>
      <c r="H88" s="189"/>
      <c r="I88" s="149">
        <f t="shared" si="2"/>
        <v>0</v>
      </c>
      <c r="J88" s="149">
        <f t="shared" si="3"/>
        <v>0</v>
      </c>
      <c r="K88" s="44"/>
      <c r="L88" s="220"/>
    </row>
    <row r="89" spans="2:12" s="46" customFormat="1" ht="19.5" customHeight="1">
      <c r="B89" s="56"/>
      <c r="C89" s="155">
        <f>IF(B89&lt;&gt;"",VLOOKUP(B89,'Tipo Projeto'!$A$3:$B$44,2,0),0)</f>
        <v>0</v>
      </c>
      <c r="D89" s="44"/>
      <c r="E89" s="44"/>
      <c r="F89" s="45"/>
      <c r="G89" s="44"/>
      <c r="H89" s="189"/>
      <c r="I89" s="149">
        <f t="shared" si="2"/>
        <v>0</v>
      </c>
      <c r="J89" s="149">
        <f t="shared" si="3"/>
        <v>0</v>
      </c>
      <c r="K89" s="44"/>
      <c r="L89" s="220"/>
    </row>
    <row r="90" spans="2:12" s="46" customFormat="1" ht="19.5" customHeight="1">
      <c r="B90" s="56"/>
      <c r="C90" s="155">
        <f>IF(B90&lt;&gt;"",VLOOKUP(B90,'Tipo Projeto'!$A$3:$B$44,2,0),0)</f>
        <v>0</v>
      </c>
      <c r="D90" s="44"/>
      <c r="E90" s="44"/>
      <c r="F90" s="45"/>
      <c r="G90" s="44"/>
      <c r="H90" s="189"/>
      <c r="I90" s="149">
        <f t="shared" si="2"/>
        <v>0</v>
      </c>
      <c r="J90" s="149">
        <f t="shared" si="3"/>
        <v>0</v>
      </c>
      <c r="K90" s="44"/>
      <c r="L90" s="220"/>
    </row>
    <row r="91" spans="2:12" s="46" customFormat="1" ht="19.5" customHeight="1">
      <c r="B91" s="56"/>
      <c r="C91" s="155">
        <f>IF(B91&lt;&gt;"",VLOOKUP(B91,'Tipo Projeto'!$A$3:$B$44,2,0),0)</f>
        <v>0</v>
      </c>
      <c r="D91" s="44"/>
      <c r="E91" s="44"/>
      <c r="F91" s="45"/>
      <c r="G91" s="44"/>
      <c r="H91" s="189"/>
      <c r="I91" s="149">
        <f t="shared" si="2"/>
        <v>0</v>
      </c>
      <c r="J91" s="149">
        <f t="shared" si="3"/>
        <v>0</v>
      </c>
      <c r="K91" s="44"/>
      <c r="L91" s="220"/>
    </row>
    <row r="92" spans="2:12" s="46" customFormat="1" ht="19.5" customHeight="1">
      <c r="B92" s="56"/>
      <c r="C92" s="155">
        <f>IF(B92&lt;&gt;"",VLOOKUP(B92,'Tipo Projeto'!$A$3:$B$44,2,0),0)</f>
        <v>0</v>
      </c>
      <c r="D92" s="44"/>
      <c r="E92" s="44"/>
      <c r="F92" s="45"/>
      <c r="G92" s="44"/>
      <c r="H92" s="189"/>
      <c r="I92" s="149">
        <f t="shared" si="2"/>
        <v>0</v>
      </c>
      <c r="J92" s="149">
        <f t="shared" si="3"/>
        <v>0</v>
      </c>
      <c r="K92" s="44"/>
      <c r="L92" s="220"/>
    </row>
    <row r="93" spans="2:12" s="46" customFormat="1" ht="19.5" customHeight="1">
      <c r="B93" s="56"/>
      <c r="C93" s="155">
        <f>IF(B93&lt;&gt;"",VLOOKUP(B93,'Tipo Projeto'!$A$3:$B$44,2,0),0)</f>
        <v>0</v>
      </c>
      <c r="D93" s="44"/>
      <c r="E93" s="44"/>
      <c r="F93" s="45"/>
      <c r="G93" s="44"/>
      <c r="H93" s="189"/>
      <c r="I93" s="149">
        <f t="shared" si="2"/>
        <v>0</v>
      </c>
      <c r="J93" s="149">
        <f t="shared" si="3"/>
        <v>0</v>
      </c>
      <c r="K93" s="44"/>
      <c r="L93" s="220"/>
    </row>
    <row r="94" spans="2:12" s="46" customFormat="1" ht="19.5" customHeight="1">
      <c r="B94" s="56"/>
      <c r="C94" s="155">
        <f>IF(B94&lt;&gt;"",VLOOKUP(B94,'Tipo Projeto'!$A$3:$B$44,2,0),0)</f>
        <v>0</v>
      </c>
      <c r="D94" s="44"/>
      <c r="E94" s="44"/>
      <c r="F94" s="45"/>
      <c r="G94" s="44"/>
      <c r="H94" s="189"/>
      <c r="I94" s="149">
        <f t="shared" si="2"/>
        <v>0</v>
      </c>
      <c r="J94" s="149">
        <f t="shared" si="3"/>
        <v>0</v>
      </c>
      <c r="K94" s="44"/>
      <c r="L94" s="220"/>
    </row>
    <row r="95" spans="2:12" s="46" customFormat="1" ht="19.5" customHeight="1">
      <c r="B95" s="56"/>
      <c r="C95" s="155">
        <f>IF(B95&lt;&gt;"",VLOOKUP(B95,'Tipo Projeto'!$A$3:$B$44,2,0),0)</f>
        <v>0</v>
      </c>
      <c r="D95" s="44"/>
      <c r="E95" s="44"/>
      <c r="F95" s="45"/>
      <c r="G95" s="44"/>
      <c r="H95" s="189"/>
      <c r="I95" s="149">
        <f t="shared" si="2"/>
        <v>0</v>
      </c>
      <c r="J95" s="149">
        <f t="shared" si="3"/>
        <v>0</v>
      </c>
      <c r="K95" s="44"/>
      <c r="L95" s="220"/>
    </row>
    <row r="96" spans="2:12" s="46" customFormat="1" ht="19.5" customHeight="1">
      <c r="B96" s="56"/>
      <c r="C96" s="155">
        <f>IF(B96&lt;&gt;"",VLOOKUP(B96,'Tipo Projeto'!$A$3:$B$44,2,0),0)</f>
        <v>0</v>
      </c>
      <c r="D96" s="44"/>
      <c r="E96" s="44"/>
      <c r="F96" s="45"/>
      <c r="G96" s="44"/>
      <c r="H96" s="189"/>
      <c r="I96" s="149">
        <f t="shared" si="2"/>
        <v>0</v>
      </c>
      <c r="J96" s="149">
        <f t="shared" si="3"/>
        <v>0</v>
      </c>
      <c r="K96" s="44"/>
      <c r="L96" s="220"/>
    </row>
    <row r="97" spans="2:12" s="46" customFormat="1" ht="19.5" customHeight="1">
      <c r="B97" s="56"/>
      <c r="C97" s="155">
        <f>IF(B97&lt;&gt;"",VLOOKUP(B97,'Tipo Projeto'!$A$3:$B$44,2,0),0)</f>
        <v>0</v>
      </c>
      <c r="D97" s="44"/>
      <c r="E97" s="44"/>
      <c r="F97" s="45"/>
      <c r="G97" s="44"/>
      <c r="H97" s="189"/>
      <c r="I97" s="149">
        <f t="shared" si="2"/>
        <v>0</v>
      </c>
      <c r="J97" s="149">
        <f t="shared" si="3"/>
        <v>0</v>
      </c>
      <c r="K97" s="44"/>
      <c r="L97" s="220"/>
    </row>
    <row r="98" spans="2:12" s="46" customFormat="1" ht="19.5" customHeight="1">
      <c r="B98" s="56"/>
      <c r="C98" s="155">
        <f>IF(B98&lt;&gt;"",VLOOKUP(B98,'Tipo Projeto'!$A$3:$B$44,2,0),0)</f>
        <v>0</v>
      </c>
      <c r="D98" s="44"/>
      <c r="E98" s="44"/>
      <c r="F98" s="45"/>
      <c r="G98" s="44"/>
      <c r="H98" s="189"/>
      <c r="I98" s="149">
        <f t="shared" si="2"/>
        <v>0</v>
      </c>
      <c r="J98" s="149">
        <f t="shared" si="3"/>
        <v>0</v>
      </c>
      <c r="K98" s="44"/>
      <c r="L98" s="220"/>
    </row>
    <row r="99" spans="2:12" s="46" customFormat="1" ht="19.5" customHeight="1">
      <c r="B99" s="56"/>
      <c r="C99" s="155">
        <f>IF(B99&lt;&gt;"",VLOOKUP(B99,'Tipo Projeto'!$A$3:$B$44,2,0),0)</f>
        <v>0</v>
      </c>
      <c r="D99" s="44"/>
      <c r="E99" s="44"/>
      <c r="F99" s="45"/>
      <c r="G99" s="44"/>
      <c r="H99" s="189"/>
      <c r="I99" s="149">
        <f t="shared" si="2"/>
        <v>0</v>
      </c>
      <c r="J99" s="149">
        <f t="shared" si="3"/>
        <v>0</v>
      </c>
      <c r="K99" s="44"/>
      <c r="L99" s="220"/>
    </row>
    <row r="100" spans="2:12" s="46" customFormat="1" ht="19.5" customHeight="1">
      <c r="B100" s="56"/>
      <c r="C100" s="155">
        <f>IF(B100&lt;&gt;"",VLOOKUP(B100,'Tipo Projeto'!$A$3:$B$44,2,0),0)</f>
        <v>0</v>
      </c>
      <c r="D100" s="44"/>
      <c r="E100" s="44"/>
      <c r="F100" s="45"/>
      <c r="G100" s="44"/>
      <c r="H100" s="189"/>
      <c r="I100" s="149">
        <f t="shared" si="2"/>
        <v>0</v>
      </c>
      <c r="J100" s="149">
        <f t="shared" si="3"/>
        <v>0</v>
      </c>
      <c r="K100" s="44"/>
      <c r="L100" s="220"/>
    </row>
    <row r="101" spans="2:12" s="46" customFormat="1" ht="19.5" customHeight="1">
      <c r="B101" s="56"/>
      <c r="C101" s="155">
        <f>IF(B101&lt;&gt;"",VLOOKUP(B101,'Tipo Projeto'!$A$3:$B$44,2,0),0)</f>
        <v>0</v>
      </c>
      <c r="D101" s="44"/>
      <c r="E101" s="44"/>
      <c r="F101" s="45"/>
      <c r="G101" s="44"/>
      <c r="H101" s="189"/>
      <c r="I101" s="149">
        <f t="shared" si="2"/>
        <v>0</v>
      </c>
      <c r="J101" s="149">
        <f t="shared" si="3"/>
        <v>0</v>
      </c>
      <c r="K101" s="44"/>
      <c r="L101" s="220"/>
    </row>
    <row r="102" spans="2:12" s="46" customFormat="1" ht="19.5" customHeight="1">
      <c r="B102" s="56"/>
      <c r="C102" s="155">
        <f>IF(B102&lt;&gt;"",VLOOKUP(B102,'Tipo Projeto'!$A$3:$B$44,2,0),0)</f>
        <v>0</v>
      </c>
      <c r="D102" s="44"/>
      <c r="E102" s="44"/>
      <c r="F102" s="45"/>
      <c r="G102" s="44"/>
      <c r="H102" s="189"/>
      <c r="I102" s="149">
        <f t="shared" si="2"/>
        <v>0</v>
      </c>
      <c r="J102" s="149">
        <f t="shared" si="3"/>
        <v>0</v>
      </c>
      <c r="K102" s="44"/>
      <c r="L102" s="220"/>
    </row>
    <row r="103" spans="2:12" s="46" customFormat="1" ht="19.5" customHeight="1">
      <c r="B103" s="56"/>
      <c r="C103" s="155">
        <f>IF(B103&lt;&gt;"",VLOOKUP(B103,'Tipo Projeto'!$A$3:$B$44,2,0),0)</f>
        <v>0</v>
      </c>
      <c r="D103" s="44"/>
      <c r="E103" s="44"/>
      <c r="F103" s="45"/>
      <c r="G103" s="44"/>
      <c r="H103" s="189"/>
      <c r="I103" s="149">
        <f t="shared" si="2"/>
        <v>0</v>
      </c>
      <c r="J103" s="149">
        <f t="shared" si="3"/>
        <v>0</v>
      </c>
      <c r="K103" s="44"/>
      <c r="L103" s="220"/>
    </row>
    <row r="104" spans="2:12" s="46" customFormat="1" ht="19.5" customHeight="1">
      <c r="B104" s="56"/>
      <c r="C104" s="155">
        <f>IF(B104&lt;&gt;"",VLOOKUP(B104,'Tipo Projeto'!$A$3:$B$44,2,0),0)</f>
        <v>0</v>
      </c>
      <c r="D104" s="44"/>
      <c r="E104" s="44"/>
      <c r="F104" s="45"/>
      <c r="G104" s="44"/>
      <c r="H104" s="189"/>
      <c r="I104" s="149">
        <f t="shared" si="2"/>
        <v>0</v>
      </c>
      <c r="J104" s="149">
        <f t="shared" si="3"/>
        <v>0</v>
      </c>
      <c r="K104" s="44"/>
      <c r="L104" s="220"/>
    </row>
    <row r="105" spans="2:12" s="46" customFormat="1" ht="19.5" customHeight="1">
      <c r="B105" s="56"/>
      <c r="C105" s="155">
        <f>IF(B105&lt;&gt;"",VLOOKUP(B105,'Tipo Projeto'!$A$3:$B$44,2,0),0)</f>
        <v>0</v>
      </c>
      <c r="D105" s="44"/>
      <c r="E105" s="44"/>
      <c r="F105" s="45"/>
      <c r="G105" s="44"/>
      <c r="H105" s="189"/>
      <c r="I105" s="149">
        <f t="shared" si="2"/>
        <v>0</v>
      </c>
      <c r="J105" s="149">
        <f t="shared" si="3"/>
        <v>0</v>
      </c>
      <c r="K105" s="44"/>
      <c r="L105" s="220"/>
    </row>
    <row r="106" spans="2:12" s="46" customFormat="1" ht="19.5" customHeight="1">
      <c r="B106" s="56"/>
      <c r="C106" s="155">
        <f>IF(B106&lt;&gt;"",VLOOKUP(B106,'Tipo Projeto'!$A$3:$B$44,2,0),0)</f>
        <v>0</v>
      </c>
      <c r="D106" s="44"/>
      <c r="E106" s="44"/>
      <c r="F106" s="45"/>
      <c r="G106" s="44"/>
      <c r="H106" s="189"/>
      <c r="I106" s="149">
        <f t="shared" si="2"/>
        <v>0</v>
      </c>
      <c r="J106" s="149">
        <f t="shared" si="3"/>
        <v>0</v>
      </c>
      <c r="K106" s="44"/>
      <c r="L106" s="220"/>
    </row>
    <row r="107" spans="2:12" s="46" customFormat="1" ht="19.5" customHeight="1">
      <c r="B107" s="56"/>
      <c r="C107" s="155">
        <f>IF(B107&lt;&gt;"",VLOOKUP(B107,'Tipo Projeto'!$A$3:$B$44,2,0),0)</f>
        <v>0</v>
      </c>
      <c r="D107" s="44"/>
      <c r="E107" s="44"/>
      <c r="F107" s="45"/>
      <c r="G107" s="44"/>
      <c r="H107" s="189"/>
      <c r="I107" s="149">
        <f t="shared" si="2"/>
        <v>0</v>
      </c>
      <c r="J107" s="149">
        <f t="shared" si="3"/>
        <v>0</v>
      </c>
      <c r="K107" s="44"/>
      <c r="L107" s="220"/>
    </row>
    <row r="108" spans="2:12" s="46" customFormat="1" ht="19.5" customHeight="1">
      <c r="B108" s="56"/>
      <c r="C108" s="155">
        <f>IF(B108&lt;&gt;"",VLOOKUP(B108,'Tipo Projeto'!$A$3:$B$44,2,0),0)</f>
        <v>0</v>
      </c>
      <c r="D108" s="44"/>
      <c r="E108" s="44"/>
      <c r="F108" s="45"/>
      <c r="G108" s="44"/>
      <c r="H108" s="189"/>
      <c r="I108" s="149">
        <f t="shared" si="2"/>
        <v>0</v>
      </c>
      <c r="J108" s="149">
        <f t="shared" si="3"/>
        <v>0</v>
      </c>
      <c r="K108" s="44"/>
      <c r="L108" s="220"/>
    </row>
    <row r="109" spans="2:12" s="46" customFormat="1" ht="19.5" customHeight="1">
      <c r="B109" s="56"/>
      <c r="C109" s="155">
        <f>IF(B109&lt;&gt;"",VLOOKUP(B109,'Tipo Projeto'!$A$3:$B$44,2,0),0)</f>
        <v>0</v>
      </c>
      <c r="D109" s="44"/>
      <c r="E109" s="44"/>
      <c r="F109" s="45"/>
      <c r="G109" s="44"/>
      <c r="H109" s="189"/>
      <c r="I109" s="149">
        <f t="shared" si="2"/>
        <v>0</v>
      </c>
      <c r="J109" s="149">
        <f t="shared" si="3"/>
        <v>0</v>
      </c>
      <c r="K109" s="44"/>
      <c r="L109" s="220"/>
    </row>
    <row r="110" spans="2:12" s="46" customFormat="1" ht="19.5" customHeight="1">
      <c r="B110" s="56"/>
      <c r="C110" s="155">
        <f>IF(B110&lt;&gt;"",VLOOKUP(B110,'Tipo Projeto'!$A$3:$B$44,2,0),0)</f>
        <v>0</v>
      </c>
      <c r="D110" s="44"/>
      <c r="E110" s="44"/>
      <c r="F110" s="45"/>
      <c r="G110" s="44"/>
      <c r="H110" s="189"/>
      <c r="I110" s="149">
        <f t="shared" si="2"/>
        <v>0</v>
      </c>
      <c r="J110" s="149">
        <f t="shared" si="3"/>
        <v>0</v>
      </c>
      <c r="K110" s="44"/>
      <c r="L110" s="220"/>
    </row>
    <row r="111" spans="2:12" s="46" customFormat="1" ht="19.5" customHeight="1">
      <c r="B111" s="56"/>
      <c r="C111" s="155">
        <f>IF(B111&lt;&gt;"",VLOOKUP(B111,'Tipo Projeto'!$A$3:$B$44,2,0),0)</f>
        <v>0</v>
      </c>
      <c r="D111" s="44"/>
      <c r="E111" s="44"/>
      <c r="F111" s="45"/>
      <c r="G111" s="44"/>
      <c r="H111" s="189"/>
      <c r="I111" s="149">
        <f t="shared" si="2"/>
        <v>0</v>
      </c>
      <c r="J111" s="149">
        <f t="shared" si="3"/>
        <v>0</v>
      </c>
      <c r="K111" s="44"/>
      <c r="L111" s="220"/>
    </row>
    <row r="112" spans="2:12" s="46" customFormat="1" ht="19.5" customHeight="1">
      <c r="B112" s="56"/>
      <c r="C112" s="155">
        <f>IF(B112&lt;&gt;"",VLOOKUP(B112,'Tipo Projeto'!$A$3:$B$44,2,0),0)</f>
        <v>0</v>
      </c>
      <c r="D112" s="44"/>
      <c r="E112" s="44"/>
      <c r="F112" s="45"/>
      <c r="G112" s="44"/>
      <c r="H112" s="189"/>
      <c r="I112" s="149">
        <f t="shared" si="2"/>
        <v>0</v>
      </c>
      <c r="J112" s="149">
        <f t="shared" si="3"/>
        <v>0</v>
      </c>
      <c r="K112" s="44"/>
      <c r="L112" s="220"/>
    </row>
    <row r="113" spans="2:12" s="46" customFormat="1" ht="19.5" customHeight="1">
      <c r="B113" s="56"/>
      <c r="C113" s="155">
        <f>IF(B113&lt;&gt;"",VLOOKUP(B113,'Tipo Projeto'!$A$3:$B$44,2,0),0)</f>
        <v>0</v>
      </c>
      <c r="D113" s="44"/>
      <c r="E113" s="44"/>
      <c r="F113" s="45"/>
      <c r="G113" s="44"/>
      <c r="H113" s="189"/>
      <c r="I113" s="149">
        <f t="shared" si="2"/>
        <v>0</v>
      </c>
      <c r="J113" s="149">
        <f t="shared" si="3"/>
        <v>0</v>
      </c>
      <c r="K113" s="44"/>
      <c r="L113" s="220"/>
    </row>
    <row r="114" spans="2:12" s="46" customFormat="1" ht="19.5" customHeight="1">
      <c r="B114" s="56"/>
      <c r="C114" s="155">
        <f>IF(B114&lt;&gt;"",VLOOKUP(B114,'Tipo Projeto'!$A$3:$B$44,2,0),0)</f>
        <v>0</v>
      </c>
      <c r="D114" s="44"/>
      <c r="E114" s="44"/>
      <c r="F114" s="45"/>
      <c r="G114" s="44"/>
      <c r="H114" s="189"/>
      <c r="I114" s="149">
        <f t="shared" si="2"/>
        <v>0</v>
      </c>
      <c r="J114" s="149">
        <f t="shared" si="3"/>
        <v>0</v>
      </c>
      <c r="K114" s="44"/>
      <c r="L114" s="220"/>
    </row>
    <row r="115" spans="2:12" s="46" customFormat="1" ht="19.5" customHeight="1">
      <c r="B115" s="56"/>
      <c r="C115" s="155">
        <f>IF(B115&lt;&gt;"",VLOOKUP(B115,'Tipo Projeto'!$A$3:$B$44,2,0),0)</f>
        <v>0</v>
      </c>
      <c r="D115" s="44"/>
      <c r="E115" s="44"/>
      <c r="F115" s="45"/>
      <c r="G115" s="44"/>
      <c r="H115" s="189"/>
      <c r="I115" s="149">
        <f t="shared" si="2"/>
        <v>0</v>
      </c>
      <c r="J115" s="149">
        <f t="shared" si="3"/>
        <v>0</v>
      </c>
      <c r="K115" s="44"/>
      <c r="L115" s="220"/>
    </row>
    <row r="116" spans="2:12" s="46" customFormat="1" ht="19.5" customHeight="1">
      <c r="B116" s="56"/>
      <c r="C116" s="155">
        <f>IF(B116&lt;&gt;"",VLOOKUP(B116,'Tipo Projeto'!$A$3:$B$44,2,0),0)</f>
        <v>0</v>
      </c>
      <c r="D116" s="44"/>
      <c r="E116" s="44"/>
      <c r="F116" s="45"/>
      <c r="G116" s="44"/>
      <c r="H116" s="189"/>
      <c r="I116" s="149">
        <f t="shared" si="2"/>
        <v>0</v>
      </c>
      <c r="J116" s="149">
        <f t="shared" si="3"/>
        <v>0</v>
      </c>
      <c r="K116" s="44"/>
      <c r="L116" s="220"/>
    </row>
    <row r="117" spans="2:12" s="46" customFormat="1" ht="19.5" customHeight="1">
      <c r="B117" s="56"/>
      <c r="C117" s="155">
        <f>IF(B117&lt;&gt;"",VLOOKUP(B117,'Tipo Projeto'!$A$3:$B$44,2,0),0)</f>
        <v>0</v>
      </c>
      <c r="D117" s="44"/>
      <c r="E117" s="44"/>
      <c r="F117" s="45"/>
      <c r="G117" s="44"/>
      <c r="H117" s="189"/>
      <c r="I117" s="149">
        <f t="shared" si="2"/>
        <v>0</v>
      </c>
      <c r="J117" s="149">
        <f t="shared" si="3"/>
        <v>0</v>
      </c>
      <c r="K117" s="44"/>
      <c r="L117" s="220"/>
    </row>
    <row r="118" spans="2:12" s="46" customFormat="1" ht="19.5" customHeight="1">
      <c r="B118" s="56"/>
      <c r="C118" s="155">
        <f>IF(B118&lt;&gt;"",VLOOKUP(B118,'Tipo Projeto'!$A$3:$B$44,2,0),0)</f>
        <v>0</v>
      </c>
      <c r="D118" s="44"/>
      <c r="E118" s="44"/>
      <c r="F118" s="45"/>
      <c r="G118" s="44"/>
      <c r="H118" s="189"/>
      <c r="I118" s="149">
        <f t="shared" si="2"/>
        <v>0</v>
      </c>
      <c r="J118" s="149">
        <f t="shared" si="3"/>
        <v>0</v>
      </c>
      <c r="K118" s="44"/>
      <c r="L118" s="220"/>
    </row>
    <row r="119" spans="2:12" s="46" customFormat="1" ht="19.5" customHeight="1">
      <c r="B119" s="56"/>
      <c r="C119" s="155">
        <f>IF(B119&lt;&gt;"",VLOOKUP(B119,'Tipo Projeto'!$A$3:$B$44,2,0),0)</f>
        <v>0</v>
      </c>
      <c r="D119" s="44"/>
      <c r="E119" s="44"/>
      <c r="F119" s="45"/>
      <c r="G119" s="44"/>
      <c r="H119" s="189"/>
      <c r="I119" s="149">
        <f t="shared" si="2"/>
        <v>0</v>
      </c>
      <c r="J119" s="149">
        <f t="shared" si="3"/>
        <v>0</v>
      </c>
      <c r="K119" s="44"/>
      <c r="L119" s="220"/>
    </row>
    <row r="120" spans="2:12" s="46" customFormat="1" ht="19.5" customHeight="1">
      <c r="B120" s="56"/>
      <c r="C120" s="155">
        <f>IF(B120&lt;&gt;"",VLOOKUP(B120,'Tipo Projeto'!$A$3:$B$44,2,0),0)</f>
        <v>0</v>
      </c>
      <c r="D120" s="44"/>
      <c r="E120" s="44"/>
      <c r="F120" s="45"/>
      <c r="G120" s="44"/>
      <c r="H120" s="189"/>
      <c r="I120" s="149">
        <f t="shared" si="2"/>
        <v>0</v>
      </c>
      <c r="J120" s="149">
        <f t="shared" si="3"/>
        <v>0</v>
      </c>
      <c r="K120" s="44"/>
      <c r="L120" s="220"/>
    </row>
    <row r="121" spans="2:12" s="46" customFormat="1" ht="19.5" customHeight="1">
      <c r="B121" s="56"/>
      <c r="C121" s="155">
        <f>IF(B121&lt;&gt;"",VLOOKUP(B121,'Tipo Projeto'!$A$3:$B$44,2,0),0)</f>
        <v>0</v>
      </c>
      <c r="D121" s="44"/>
      <c r="E121" s="44"/>
      <c r="F121" s="45"/>
      <c r="G121" s="44"/>
      <c r="H121" s="189"/>
      <c r="I121" s="149">
        <f t="shared" si="2"/>
        <v>0</v>
      </c>
      <c r="J121" s="149">
        <f t="shared" si="3"/>
        <v>0</v>
      </c>
      <c r="K121" s="44"/>
      <c r="L121" s="220"/>
    </row>
    <row r="122" spans="2:12" s="46" customFormat="1" ht="19.5" customHeight="1">
      <c r="B122" s="56"/>
      <c r="C122" s="155">
        <f>IF(B122&lt;&gt;"",VLOOKUP(B122,'Tipo Projeto'!$A$3:$B$44,2,0),0)</f>
        <v>0</v>
      </c>
      <c r="D122" s="44"/>
      <c r="E122" s="44"/>
      <c r="F122" s="45"/>
      <c r="G122" s="44"/>
      <c r="H122" s="189"/>
      <c r="I122" s="149">
        <f t="shared" si="2"/>
        <v>0</v>
      </c>
      <c r="J122" s="149">
        <f t="shared" si="3"/>
        <v>0</v>
      </c>
      <c r="K122" s="44"/>
      <c r="L122" s="220"/>
    </row>
    <row r="123" spans="2:12" s="46" customFormat="1" ht="19.5" customHeight="1">
      <c r="B123" s="56"/>
      <c r="C123" s="155">
        <f>IF(B123&lt;&gt;"",VLOOKUP(B123,'Tipo Projeto'!$A$3:$B$44,2,0),0)</f>
        <v>0</v>
      </c>
      <c r="D123" s="44"/>
      <c r="E123" s="44"/>
      <c r="F123" s="45"/>
      <c r="G123" s="44"/>
      <c r="H123" s="189"/>
      <c r="I123" s="149">
        <f t="shared" si="2"/>
        <v>0</v>
      </c>
      <c r="J123" s="149">
        <f t="shared" si="3"/>
        <v>0</v>
      </c>
      <c r="K123" s="44"/>
      <c r="L123" s="220"/>
    </row>
    <row r="124" spans="2:12" s="46" customFormat="1" ht="19.5" customHeight="1">
      <c r="B124" s="56"/>
      <c r="C124" s="155">
        <f>IF(B124&lt;&gt;"",VLOOKUP(B124,'Tipo Projeto'!$A$3:$B$44,2,0),0)</f>
        <v>0</v>
      </c>
      <c r="D124" s="44"/>
      <c r="E124" s="44"/>
      <c r="F124" s="45"/>
      <c r="G124" s="44"/>
      <c r="H124" s="189"/>
      <c r="I124" s="149">
        <f t="shared" si="2"/>
        <v>0</v>
      </c>
      <c r="J124" s="149">
        <f t="shared" si="3"/>
        <v>0</v>
      </c>
      <c r="K124" s="44"/>
      <c r="L124" s="220"/>
    </row>
    <row r="125" spans="2:12" s="46" customFormat="1" ht="19.5" customHeight="1">
      <c r="B125" s="56"/>
      <c r="C125" s="155">
        <f>IF(B125&lt;&gt;"",VLOOKUP(B125,'Tipo Projeto'!$A$3:$B$44,2,0),0)</f>
        <v>0</v>
      </c>
      <c r="D125" s="44"/>
      <c r="E125" s="44"/>
      <c r="F125" s="45"/>
      <c r="G125" s="44"/>
      <c r="H125" s="189"/>
      <c r="I125" s="149">
        <f t="shared" si="2"/>
        <v>0</v>
      </c>
      <c r="J125" s="149">
        <f t="shared" si="3"/>
        <v>0</v>
      </c>
      <c r="K125" s="44"/>
      <c r="L125" s="220"/>
    </row>
    <row r="126" spans="2:12" s="46" customFormat="1" ht="19.5" customHeight="1">
      <c r="B126" s="56"/>
      <c r="C126" s="155">
        <f>IF(B126&lt;&gt;"",VLOOKUP(B126,'Tipo Projeto'!$A$3:$B$44,2,0),0)</f>
        <v>0</v>
      </c>
      <c r="D126" s="44"/>
      <c r="E126" s="44"/>
      <c r="F126" s="45"/>
      <c r="G126" s="44"/>
      <c r="H126" s="189"/>
      <c r="I126" s="149">
        <f t="shared" si="2"/>
        <v>0</v>
      </c>
      <c r="J126" s="149">
        <f t="shared" si="3"/>
        <v>0</v>
      </c>
      <c r="K126" s="44"/>
      <c r="L126" s="220"/>
    </row>
    <row r="127" spans="2:12" s="46" customFormat="1" ht="19.5" customHeight="1">
      <c r="B127" s="56"/>
      <c r="C127" s="155">
        <f>IF(B127&lt;&gt;"",VLOOKUP(B127,'Tipo Projeto'!$A$3:$B$44,2,0),0)</f>
        <v>0</v>
      </c>
      <c r="D127" s="44"/>
      <c r="E127" s="44"/>
      <c r="F127" s="45"/>
      <c r="G127" s="44"/>
      <c r="H127" s="189"/>
      <c r="I127" s="149">
        <f t="shared" si="2"/>
        <v>0</v>
      </c>
      <c r="J127" s="149">
        <f t="shared" si="3"/>
        <v>0</v>
      </c>
      <c r="K127" s="44"/>
      <c r="L127" s="220"/>
    </row>
    <row r="128" spans="2:12" s="46" customFormat="1" ht="19.5" customHeight="1">
      <c r="B128" s="56"/>
      <c r="C128" s="155">
        <f>IF(B128&lt;&gt;"",VLOOKUP(B128,'Tipo Projeto'!$A$3:$B$44,2,0),0)</f>
        <v>0</v>
      </c>
      <c r="D128" s="44"/>
      <c r="E128" s="44"/>
      <c r="F128" s="45"/>
      <c r="G128" s="44"/>
      <c r="H128" s="189"/>
      <c r="I128" s="149">
        <f t="shared" si="2"/>
        <v>0</v>
      </c>
      <c r="J128" s="149">
        <f t="shared" si="3"/>
        <v>0</v>
      </c>
      <c r="K128" s="44"/>
      <c r="L128" s="220"/>
    </row>
    <row r="129" spans="2:12" s="46" customFormat="1" ht="19.5" customHeight="1">
      <c r="B129" s="56"/>
      <c r="C129" s="155">
        <f>IF(B129&lt;&gt;"",VLOOKUP(B129,'Tipo Projeto'!$A$3:$B$44,2,0),0)</f>
        <v>0</v>
      </c>
      <c r="D129" s="44"/>
      <c r="E129" s="44"/>
      <c r="F129" s="45"/>
      <c r="G129" s="44"/>
      <c r="H129" s="189"/>
      <c r="I129" s="149">
        <f t="shared" si="2"/>
        <v>0</v>
      </c>
      <c r="J129" s="149">
        <f t="shared" si="3"/>
        <v>0</v>
      </c>
      <c r="K129" s="44"/>
      <c r="L129" s="220"/>
    </row>
    <row r="130" spans="2:12" s="46" customFormat="1" ht="19.5" customHeight="1">
      <c r="B130" s="56"/>
      <c r="C130" s="155">
        <f>IF(B130&lt;&gt;"",VLOOKUP(B130,'Tipo Projeto'!$A$3:$B$44,2,0),0)</f>
        <v>0</v>
      </c>
      <c r="D130" s="44"/>
      <c r="E130" s="44"/>
      <c r="F130" s="45"/>
      <c r="G130" s="44"/>
      <c r="H130" s="189"/>
      <c r="I130" s="149">
        <f t="shared" si="2"/>
        <v>0</v>
      </c>
      <c r="J130" s="149">
        <f t="shared" si="3"/>
        <v>0</v>
      </c>
      <c r="K130" s="44"/>
      <c r="L130" s="220"/>
    </row>
    <row r="131" spans="2:12" s="46" customFormat="1" ht="19.5" customHeight="1">
      <c r="B131" s="56"/>
      <c r="C131" s="155">
        <f>IF(B131&lt;&gt;"",VLOOKUP(B131,'Tipo Projeto'!$A$3:$B$44,2,0),0)</f>
        <v>0</v>
      </c>
      <c r="D131" s="44"/>
      <c r="E131" s="44"/>
      <c r="F131" s="45"/>
      <c r="G131" s="44"/>
      <c r="H131" s="189"/>
      <c r="I131" s="149">
        <f t="shared" si="2"/>
        <v>0</v>
      </c>
      <c r="J131" s="149">
        <f t="shared" si="3"/>
        <v>0</v>
      </c>
      <c r="K131" s="44"/>
      <c r="L131" s="220"/>
    </row>
    <row r="132" spans="2:12" s="46" customFormat="1" ht="19.5" customHeight="1">
      <c r="B132" s="56"/>
      <c r="C132" s="155">
        <f>IF(B132&lt;&gt;"",VLOOKUP(B132,'Tipo Projeto'!$A$3:$B$44,2,0),0)</f>
        <v>0</v>
      </c>
      <c r="D132" s="44"/>
      <c r="E132" s="44"/>
      <c r="F132" s="45"/>
      <c r="G132" s="44"/>
      <c r="H132" s="189"/>
      <c r="I132" s="149">
        <f t="shared" si="2"/>
        <v>0</v>
      </c>
      <c r="J132" s="149">
        <f t="shared" si="3"/>
        <v>0</v>
      </c>
      <c r="K132" s="44"/>
      <c r="L132" s="220"/>
    </row>
    <row r="133" spans="2:12" s="46" customFormat="1" ht="19.5" customHeight="1">
      <c r="B133" s="56"/>
      <c r="C133" s="155">
        <f>IF(B133&lt;&gt;"",VLOOKUP(B133,'Tipo Projeto'!$A$3:$B$44,2,0),0)</f>
        <v>0</v>
      </c>
      <c r="D133" s="44"/>
      <c r="E133" s="44"/>
      <c r="F133" s="45"/>
      <c r="G133" s="44"/>
      <c r="H133" s="189"/>
      <c r="I133" s="149">
        <f t="shared" si="2"/>
        <v>0</v>
      </c>
      <c r="J133" s="149">
        <f t="shared" si="3"/>
        <v>0</v>
      </c>
      <c r="K133" s="44"/>
      <c r="L133" s="220"/>
    </row>
    <row r="134" spans="2:12" s="46" customFormat="1" ht="19.5" customHeight="1">
      <c r="B134" s="56"/>
      <c r="C134" s="155">
        <f>IF(B134&lt;&gt;"",VLOOKUP(B134,'Tipo Projeto'!$A$3:$B$44,2,0),0)</f>
        <v>0</v>
      </c>
      <c r="D134" s="44"/>
      <c r="E134" s="44"/>
      <c r="F134" s="45"/>
      <c r="G134" s="44"/>
      <c r="H134" s="189"/>
      <c r="I134" s="149">
        <f t="shared" si="2"/>
        <v>0</v>
      </c>
      <c r="J134" s="149">
        <f t="shared" si="3"/>
        <v>0</v>
      </c>
      <c r="K134" s="44"/>
      <c r="L134" s="220"/>
    </row>
    <row r="135" spans="2:12" s="46" customFormat="1" ht="19.5" customHeight="1">
      <c r="B135" s="56"/>
      <c r="C135" s="155">
        <f>IF(B135&lt;&gt;"",VLOOKUP(B135,'Tipo Projeto'!$A$3:$B$44,2,0),0)</f>
        <v>0</v>
      </c>
      <c r="D135" s="44"/>
      <c r="E135" s="44"/>
      <c r="F135" s="45"/>
      <c r="G135" s="44"/>
      <c r="H135" s="189"/>
      <c r="I135" s="149">
        <f t="shared" si="2"/>
        <v>0</v>
      </c>
      <c r="J135" s="149">
        <f t="shared" si="3"/>
        <v>0</v>
      </c>
      <c r="K135" s="44"/>
      <c r="L135" s="220"/>
    </row>
    <row r="136" spans="2:12" s="46" customFormat="1" ht="19.5" customHeight="1">
      <c r="B136" s="56"/>
      <c r="C136" s="155">
        <f>IF(B136&lt;&gt;"",VLOOKUP(B136,'Tipo Projeto'!$A$3:$B$44,2,0),0)</f>
        <v>0</v>
      </c>
      <c r="D136" s="44"/>
      <c r="E136" s="44"/>
      <c r="F136" s="45"/>
      <c r="G136" s="44"/>
      <c r="H136" s="189"/>
      <c r="I136" s="149">
        <f t="shared" si="2"/>
        <v>0</v>
      </c>
      <c r="J136" s="149">
        <f t="shared" si="3"/>
        <v>0</v>
      </c>
      <c r="K136" s="44"/>
      <c r="L136" s="220"/>
    </row>
    <row r="137" spans="2:12" s="46" customFormat="1" ht="19.5" customHeight="1">
      <c r="B137" s="56"/>
      <c r="C137" s="155">
        <f>IF(B137&lt;&gt;"",VLOOKUP(B137,'Tipo Projeto'!$A$3:$B$44,2,0),0)</f>
        <v>0</v>
      </c>
      <c r="D137" s="44"/>
      <c r="E137" s="44"/>
      <c r="F137" s="45"/>
      <c r="G137" s="44"/>
      <c r="H137" s="189"/>
      <c r="I137" s="149">
        <f t="shared" si="2"/>
        <v>0</v>
      </c>
      <c r="J137" s="149">
        <f t="shared" si="3"/>
        <v>0</v>
      </c>
      <c r="K137" s="44"/>
      <c r="L137" s="220"/>
    </row>
    <row r="138" spans="2:12" s="46" customFormat="1" ht="19.5" customHeight="1">
      <c r="B138" s="56"/>
      <c r="C138" s="155">
        <f>IF(B138&lt;&gt;"",VLOOKUP(B138,'Tipo Projeto'!$A$3:$B$44,2,0),0)</f>
        <v>0</v>
      </c>
      <c r="D138" s="44"/>
      <c r="E138" s="44"/>
      <c r="F138" s="45"/>
      <c r="G138" s="44"/>
      <c r="H138" s="189"/>
      <c r="I138" s="149">
        <f t="shared" si="2"/>
        <v>0</v>
      </c>
      <c r="J138" s="149">
        <f t="shared" si="3"/>
        <v>0</v>
      </c>
      <c r="K138" s="44"/>
      <c r="L138" s="220"/>
    </row>
    <row r="139" spans="2:12" s="46" customFormat="1" ht="19.5" customHeight="1">
      <c r="B139" s="56"/>
      <c r="C139" s="155">
        <f>IF(B139&lt;&gt;"",VLOOKUP(B139,'Tipo Projeto'!$A$3:$B$44,2,0),0)</f>
        <v>0</v>
      </c>
      <c r="D139" s="44"/>
      <c r="E139" s="44"/>
      <c r="F139" s="45"/>
      <c r="G139" s="44"/>
      <c r="H139" s="189"/>
      <c r="I139" s="149">
        <f t="shared" ref="I139:I202" si="4">IF(G139="INM",C139*H139,IF(B139&lt;&gt;"Manutenção em interface",IF(B139&lt;&gt;"Desenv., Manutenção e Publicação de Páginas Estáticas",IF(G139="EE",4,IF(G139="CE",4,IF(G139="SE",5,IF(G139="ALI",7,IF(G139="AIE",5,0)))))*1,0),0))</f>
        <v>0</v>
      </c>
      <c r="J139" s="149">
        <f t="shared" ref="J139:J202" si="5">IF(G139="INM",C139*H139,IF(B139&lt;&gt;"Manutenção em interface",IF(B139&lt;&gt;"Desenv., Manutenção e Publicação de Páginas Estáticas",IF(G139="EE",4,IF(G139="CE",4,IF(G139="SE",5,IF(G139="ALI",7,IF(G139="AIE",5,0)))))*C139,C139),C139))</f>
        <v>0</v>
      </c>
      <c r="K139" s="44"/>
      <c r="L139" s="220"/>
    </row>
    <row r="140" spans="2:12" s="46" customFormat="1" ht="19.5" customHeight="1">
      <c r="B140" s="56"/>
      <c r="C140" s="155">
        <f>IF(B140&lt;&gt;"",VLOOKUP(B140,'Tipo Projeto'!$A$3:$B$44,2,0),0)</f>
        <v>0</v>
      </c>
      <c r="D140" s="44"/>
      <c r="E140" s="44"/>
      <c r="F140" s="45"/>
      <c r="G140" s="44"/>
      <c r="H140" s="189"/>
      <c r="I140" s="149">
        <f t="shared" si="4"/>
        <v>0</v>
      </c>
      <c r="J140" s="149">
        <f t="shared" si="5"/>
        <v>0</v>
      </c>
      <c r="K140" s="44"/>
      <c r="L140" s="220"/>
    </row>
    <row r="141" spans="2:12" s="46" customFormat="1" ht="19.5" customHeight="1">
      <c r="B141" s="56"/>
      <c r="C141" s="155">
        <f>IF(B141&lt;&gt;"",VLOOKUP(B141,'Tipo Projeto'!$A$3:$B$44,2,0),0)</f>
        <v>0</v>
      </c>
      <c r="D141" s="44"/>
      <c r="E141" s="44"/>
      <c r="F141" s="45"/>
      <c r="G141" s="44"/>
      <c r="H141" s="189"/>
      <c r="I141" s="149">
        <f t="shared" si="4"/>
        <v>0</v>
      </c>
      <c r="J141" s="149">
        <f t="shared" si="5"/>
        <v>0</v>
      </c>
      <c r="K141" s="44"/>
      <c r="L141" s="220"/>
    </row>
    <row r="142" spans="2:12" s="46" customFormat="1" ht="19.5" customHeight="1">
      <c r="B142" s="56"/>
      <c r="C142" s="155">
        <f>IF(B142&lt;&gt;"",VLOOKUP(B142,'Tipo Projeto'!$A$3:$B$44,2,0),0)</f>
        <v>0</v>
      </c>
      <c r="D142" s="44"/>
      <c r="E142" s="44"/>
      <c r="F142" s="45"/>
      <c r="G142" s="44"/>
      <c r="H142" s="189"/>
      <c r="I142" s="149">
        <f t="shared" si="4"/>
        <v>0</v>
      </c>
      <c r="J142" s="149">
        <f t="shared" si="5"/>
        <v>0</v>
      </c>
      <c r="K142" s="44"/>
      <c r="L142" s="220"/>
    </row>
    <row r="143" spans="2:12" s="46" customFormat="1" ht="19.5" customHeight="1">
      <c r="B143" s="56"/>
      <c r="C143" s="155">
        <f>IF(B143&lt;&gt;"",VLOOKUP(B143,'Tipo Projeto'!$A$3:$B$44,2,0),0)</f>
        <v>0</v>
      </c>
      <c r="D143" s="44"/>
      <c r="E143" s="44"/>
      <c r="F143" s="45"/>
      <c r="G143" s="44"/>
      <c r="H143" s="189"/>
      <c r="I143" s="149">
        <f t="shared" si="4"/>
        <v>0</v>
      </c>
      <c r="J143" s="149">
        <f t="shared" si="5"/>
        <v>0</v>
      </c>
      <c r="K143" s="44"/>
      <c r="L143" s="220"/>
    </row>
    <row r="144" spans="2:12" s="46" customFormat="1" ht="19.5" customHeight="1">
      <c r="B144" s="56"/>
      <c r="C144" s="155">
        <f>IF(B144&lt;&gt;"",VLOOKUP(B144,'Tipo Projeto'!$A$3:$B$44,2,0),0)</f>
        <v>0</v>
      </c>
      <c r="D144" s="44"/>
      <c r="E144" s="44"/>
      <c r="F144" s="45"/>
      <c r="G144" s="44"/>
      <c r="H144" s="189"/>
      <c r="I144" s="149">
        <f t="shared" si="4"/>
        <v>0</v>
      </c>
      <c r="J144" s="149">
        <f t="shared" si="5"/>
        <v>0</v>
      </c>
      <c r="K144" s="44"/>
      <c r="L144" s="220"/>
    </row>
    <row r="145" spans="2:12" s="46" customFormat="1" ht="19.5" customHeight="1">
      <c r="B145" s="56"/>
      <c r="C145" s="155">
        <f>IF(B145&lt;&gt;"",VLOOKUP(B145,'Tipo Projeto'!$A$3:$B$44,2,0),0)</f>
        <v>0</v>
      </c>
      <c r="D145" s="44"/>
      <c r="E145" s="44"/>
      <c r="F145" s="45"/>
      <c r="G145" s="44"/>
      <c r="H145" s="189"/>
      <c r="I145" s="149">
        <f t="shared" si="4"/>
        <v>0</v>
      </c>
      <c r="J145" s="149">
        <f t="shared" si="5"/>
        <v>0</v>
      </c>
      <c r="K145" s="44"/>
      <c r="L145" s="220"/>
    </row>
    <row r="146" spans="2:12" s="46" customFormat="1" ht="19.5" customHeight="1">
      <c r="B146" s="56"/>
      <c r="C146" s="155">
        <f>IF(B146&lt;&gt;"",VLOOKUP(B146,'Tipo Projeto'!$A$3:$B$44,2,0),0)</f>
        <v>0</v>
      </c>
      <c r="D146" s="44"/>
      <c r="E146" s="44"/>
      <c r="F146" s="45"/>
      <c r="G146" s="44"/>
      <c r="H146" s="189"/>
      <c r="I146" s="149">
        <f t="shared" si="4"/>
        <v>0</v>
      </c>
      <c r="J146" s="149">
        <f t="shared" si="5"/>
        <v>0</v>
      </c>
      <c r="K146" s="44"/>
      <c r="L146" s="220"/>
    </row>
    <row r="147" spans="2:12" s="46" customFormat="1" ht="19.5" customHeight="1">
      <c r="B147" s="56"/>
      <c r="C147" s="155">
        <f>IF(B147&lt;&gt;"",VLOOKUP(B147,'Tipo Projeto'!$A$3:$B$44,2,0),0)</f>
        <v>0</v>
      </c>
      <c r="D147" s="44"/>
      <c r="E147" s="44"/>
      <c r="F147" s="45"/>
      <c r="G147" s="44"/>
      <c r="H147" s="189"/>
      <c r="I147" s="149">
        <f t="shared" si="4"/>
        <v>0</v>
      </c>
      <c r="J147" s="149">
        <f t="shared" si="5"/>
        <v>0</v>
      </c>
      <c r="K147" s="44"/>
      <c r="L147" s="220"/>
    </row>
    <row r="148" spans="2:12" s="46" customFormat="1" ht="19.5" customHeight="1">
      <c r="B148" s="56"/>
      <c r="C148" s="155">
        <f>IF(B148&lt;&gt;"",VLOOKUP(B148,'Tipo Projeto'!$A$3:$B$44,2,0),0)</f>
        <v>0</v>
      </c>
      <c r="D148" s="44"/>
      <c r="E148" s="44"/>
      <c r="F148" s="45"/>
      <c r="G148" s="44"/>
      <c r="H148" s="189"/>
      <c r="I148" s="149">
        <f t="shared" si="4"/>
        <v>0</v>
      </c>
      <c r="J148" s="149">
        <f t="shared" si="5"/>
        <v>0</v>
      </c>
      <c r="K148" s="44"/>
      <c r="L148" s="220"/>
    </row>
    <row r="149" spans="2:12" s="46" customFormat="1" ht="19.5" customHeight="1">
      <c r="B149" s="56"/>
      <c r="C149" s="155">
        <f>IF(B149&lt;&gt;"",VLOOKUP(B149,'Tipo Projeto'!$A$3:$B$44,2,0),0)</f>
        <v>0</v>
      </c>
      <c r="D149" s="44"/>
      <c r="E149" s="44"/>
      <c r="F149" s="45"/>
      <c r="G149" s="44"/>
      <c r="H149" s="189"/>
      <c r="I149" s="149">
        <f t="shared" si="4"/>
        <v>0</v>
      </c>
      <c r="J149" s="149">
        <f t="shared" si="5"/>
        <v>0</v>
      </c>
      <c r="K149" s="44"/>
      <c r="L149" s="220"/>
    </row>
    <row r="150" spans="2:12" s="46" customFormat="1" ht="19.5" customHeight="1">
      <c r="B150" s="56"/>
      <c r="C150" s="155">
        <f>IF(B150&lt;&gt;"",VLOOKUP(B150,'Tipo Projeto'!$A$3:$B$44,2,0),0)</f>
        <v>0</v>
      </c>
      <c r="D150" s="44"/>
      <c r="E150" s="44"/>
      <c r="F150" s="45"/>
      <c r="G150" s="44"/>
      <c r="H150" s="189"/>
      <c r="I150" s="149">
        <f t="shared" si="4"/>
        <v>0</v>
      </c>
      <c r="J150" s="149">
        <f t="shared" si="5"/>
        <v>0</v>
      </c>
      <c r="K150" s="44"/>
      <c r="L150" s="220"/>
    </row>
    <row r="151" spans="2:12" s="46" customFormat="1" ht="19.5" customHeight="1">
      <c r="B151" s="56"/>
      <c r="C151" s="155">
        <f>IF(B151&lt;&gt;"",VLOOKUP(B151,'Tipo Projeto'!$A$3:$B$44,2,0),0)</f>
        <v>0</v>
      </c>
      <c r="D151" s="44"/>
      <c r="E151" s="44"/>
      <c r="F151" s="45"/>
      <c r="G151" s="44"/>
      <c r="H151" s="189"/>
      <c r="I151" s="149">
        <f t="shared" si="4"/>
        <v>0</v>
      </c>
      <c r="J151" s="149">
        <f t="shared" si="5"/>
        <v>0</v>
      </c>
      <c r="K151" s="44"/>
      <c r="L151" s="220"/>
    </row>
    <row r="152" spans="2:12" s="46" customFormat="1" ht="19.5" customHeight="1">
      <c r="B152" s="56"/>
      <c r="C152" s="155">
        <f>IF(B152&lt;&gt;"",VLOOKUP(B152,'Tipo Projeto'!$A$3:$B$44,2,0),0)</f>
        <v>0</v>
      </c>
      <c r="D152" s="44"/>
      <c r="E152" s="44"/>
      <c r="F152" s="45"/>
      <c r="G152" s="44"/>
      <c r="H152" s="189"/>
      <c r="I152" s="149">
        <f t="shared" si="4"/>
        <v>0</v>
      </c>
      <c r="J152" s="149">
        <f t="shared" si="5"/>
        <v>0</v>
      </c>
      <c r="K152" s="44"/>
      <c r="L152" s="220"/>
    </row>
    <row r="153" spans="2:12" s="46" customFormat="1" ht="19.5" customHeight="1">
      <c r="B153" s="56"/>
      <c r="C153" s="155">
        <f>IF(B153&lt;&gt;"",VLOOKUP(B153,'Tipo Projeto'!$A$3:$B$44,2,0),0)</f>
        <v>0</v>
      </c>
      <c r="D153" s="44"/>
      <c r="E153" s="44"/>
      <c r="F153" s="45"/>
      <c r="G153" s="44"/>
      <c r="H153" s="189"/>
      <c r="I153" s="149">
        <f t="shared" si="4"/>
        <v>0</v>
      </c>
      <c r="J153" s="149">
        <f t="shared" si="5"/>
        <v>0</v>
      </c>
      <c r="K153" s="44"/>
      <c r="L153" s="220"/>
    </row>
    <row r="154" spans="2:12" s="46" customFormat="1" ht="19.5" customHeight="1">
      <c r="B154" s="56"/>
      <c r="C154" s="155">
        <f>IF(B154&lt;&gt;"",VLOOKUP(B154,'Tipo Projeto'!$A$3:$B$44,2,0),0)</f>
        <v>0</v>
      </c>
      <c r="D154" s="44"/>
      <c r="E154" s="44"/>
      <c r="F154" s="45"/>
      <c r="G154" s="44"/>
      <c r="H154" s="189"/>
      <c r="I154" s="149">
        <f t="shared" si="4"/>
        <v>0</v>
      </c>
      <c r="J154" s="149">
        <f t="shared" si="5"/>
        <v>0</v>
      </c>
      <c r="K154" s="44"/>
      <c r="L154" s="220"/>
    </row>
    <row r="155" spans="2:12" s="46" customFormat="1" ht="19.5" customHeight="1">
      <c r="B155" s="56"/>
      <c r="C155" s="155">
        <f>IF(B155&lt;&gt;"",VLOOKUP(B155,'Tipo Projeto'!$A$3:$B$44,2,0),0)</f>
        <v>0</v>
      </c>
      <c r="D155" s="44"/>
      <c r="E155" s="44"/>
      <c r="F155" s="45"/>
      <c r="G155" s="44"/>
      <c r="H155" s="189"/>
      <c r="I155" s="149">
        <f t="shared" si="4"/>
        <v>0</v>
      </c>
      <c r="J155" s="149">
        <f t="shared" si="5"/>
        <v>0</v>
      </c>
      <c r="K155" s="44"/>
      <c r="L155" s="220"/>
    </row>
    <row r="156" spans="2:12" s="46" customFormat="1" ht="19.5" customHeight="1">
      <c r="B156" s="56"/>
      <c r="C156" s="155">
        <f>IF(B156&lt;&gt;"",VLOOKUP(B156,'Tipo Projeto'!$A$3:$B$44,2,0),0)</f>
        <v>0</v>
      </c>
      <c r="D156" s="44"/>
      <c r="E156" s="44"/>
      <c r="F156" s="45"/>
      <c r="G156" s="44"/>
      <c r="H156" s="189"/>
      <c r="I156" s="149">
        <f t="shared" si="4"/>
        <v>0</v>
      </c>
      <c r="J156" s="149">
        <f t="shared" si="5"/>
        <v>0</v>
      </c>
      <c r="K156" s="44"/>
      <c r="L156" s="220"/>
    </row>
    <row r="157" spans="2:12" s="46" customFormat="1" ht="19.5" customHeight="1">
      <c r="B157" s="56"/>
      <c r="C157" s="155">
        <f>IF(B157&lt;&gt;"",VLOOKUP(B157,'Tipo Projeto'!$A$3:$B$44,2,0),0)</f>
        <v>0</v>
      </c>
      <c r="D157" s="44"/>
      <c r="E157" s="44"/>
      <c r="F157" s="45"/>
      <c r="G157" s="44"/>
      <c r="H157" s="189"/>
      <c r="I157" s="149">
        <f t="shared" si="4"/>
        <v>0</v>
      </c>
      <c r="J157" s="149">
        <f t="shared" si="5"/>
        <v>0</v>
      </c>
      <c r="K157" s="44"/>
      <c r="L157" s="220"/>
    </row>
    <row r="158" spans="2:12" s="46" customFormat="1" ht="19.5" customHeight="1">
      <c r="B158" s="56"/>
      <c r="C158" s="155">
        <f>IF(B158&lt;&gt;"",VLOOKUP(B158,'Tipo Projeto'!$A$3:$B$44,2,0),0)</f>
        <v>0</v>
      </c>
      <c r="D158" s="44"/>
      <c r="E158" s="44"/>
      <c r="F158" s="45"/>
      <c r="G158" s="44"/>
      <c r="H158" s="189"/>
      <c r="I158" s="149">
        <f t="shared" si="4"/>
        <v>0</v>
      </c>
      <c r="J158" s="149">
        <f t="shared" si="5"/>
        <v>0</v>
      </c>
      <c r="K158" s="44"/>
      <c r="L158" s="220"/>
    </row>
    <row r="159" spans="2:12" s="46" customFormat="1" ht="19.5" customHeight="1">
      <c r="B159" s="56"/>
      <c r="C159" s="155">
        <f>IF(B159&lt;&gt;"",VLOOKUP(B159,'Tipo Projeto'!$A$3:$B$44,2,0),0)</f>
        <v>0</v>
      </c>
      <c r="D159" s="44"/>
      <c r="E159" s="44"/>
      <c r="F159" s="45"/>
      <c r="G159" s="44"/>
      <c r="H159" s="189"/>
      <c r="I159" s="149">
        <f t="shared" si="4"/>
        <v>0</v>
      </c>
      <c r="J159" s="149">
        <f t="shared" si="5"/>
        <v>0</v>
      </c>
      <c r="K159" s="44"/>
      <c r="L159" s="220"/>
    </row>
    <row r="160" spans="2:12" s="46" customFormat="1" ht="19.5" customHeight="1">
      <c r="B160" s="56"/>
      <c r="C160" s="155">
        <f>IF(B160&lt;&gt;"",VLOOKUP(B160,'Tipo Projeto'!$A$3:$B$44,2,0),0)</f>
        <v>0</v>
      </c>
      <c r="D160" s="44"/>
      <c r="E160" s="44"/>
      <c r="F160" s="45"/>
      <c r="G160" s="44"/>
      <c r="H160" s="189"/>
      <c r="I160" s="149">
        <f t="shared" si="4"/>
        <v>0</v>
      </c>
      <c r="J160" s="149">
        <f t="shared" si="5"/>
        <v>0</v>
      </c>
      <c r="K160" s="44"/>
      <c r="L160" s="220"/>
    </row>
    <row r="161" spans="2:12" s="46" customFormat="1" ht="19.5" customHeight="1">
      <c r="B161" s="56"/>
      <c r="C161" s="155">
        <f>IF(B161&lt;&gt;"",VLOOKUP(B161,'Tipo Projeto'!$A$3:$B$44,2,0),0)</f>
        <v>0</v>
      </c>
      <c r="D161" s="44"/>
      <c r="E161" s="44"/>
      <c r="F161" s="45"/>
      <c r="G161" s="44"/>
      <c r="H161" s="189"/>
      <c r="I161" s="149">
        <f t="shared" si="4"/>
        <v>0</v>
      </c>
      <c r="J161" s="149">
        <f t="shared" si="5"/>
        <v>0</v>
      </c>
      <c r="K161" s="44"/>
      <c r="L161" s="220"/>
    </row>
    <row r="162" spans="2:12" s="46" customFormat="1" ht="19.5" customHeight="1">
      <c r="B162" s="56"/>
      <c r="C162" s="155">
        <f>IF(B162&lt;&gt;"",VLOOKUP(B162,'Tipo Projeto'!$A$3:$B$44,2,0),0)</f>
        <v>0</v>
      </c>
      <c r="D162" s="44"/>
      <c r="E162" s="44"/>
      <c r="F162" s="45"/>
      <c r="G162" s="44"/>
      <c r="H162" s="189"/>
      <c r="I162" s="149">
        <f t="shared" si="4"/>
        <v>0</v>
      </c>
      <c r="J162" s="149">
        <f t="shared" si="5"/>
        <v>0</v>
      </c>
      <c r="K162" s="44"/>
      <c r="L162" s="220"/>
    </row>
    <row r="163" spans="2:12" s="46" customFormat="1" ht="19.5" customHeight="1">
      <c r="B163" s="56"/>
      <c r="C163" s="155">
        <f>IF(B163&lt;&gt;"",VLOOKUP(B163,'Tipo Projeto'!$A$3:$B$44,2,0),0)</f>
        <v>0</v>
      </c>
      <c r="D163" s="44"/>
      <c r="E163" s="44"/>
      <c r="F163" s="45"/>
      <c r="G163" s="44"/>
      <c r="H163" s="189"/>
      <c r="I163" s="149">
        <f t="shared" si="4"/>
        <v>0</v>
      </c>
      <c r="J163" s="149">
        <f t="shared" si="5"/>
        <v>0</v>
      </c>
      <c r="K163" s="44"/>
      <c r="L163" s="220"/>
    </row>
    <row r="164" spans="2:12" s="46" customFormat="1" ht="19.5" customHeight="1">
      <c r="B164" s="56"/>
      <c r="C164" s="155">
        <f>IF(B164&lt;&gt;"",VLOOKUP(B164,'Tipo Projeto'!$A$3:$B$44,2,0),0)</f>
        <v>0</v>
      </c>
      <c r="D164" s="44"/>
      <c r="E164" s="44"/>
      <c r="F164" s="45"/>
      <c r="G164" s="44"/>
      <c r="H164" s="189"/>
      <c r="I164" s="149">
        <f t="shared" si="4"/>
        <v>0</v>
      </c>
      <c r="J164" s="149">
        <f t="shared" si="5"/>
        <v>0</v>
      </c>
      <c r="K164" s="44"/>
      <c r="L164" s="220"/>
    </row>
    <row r="165" spans="2:12" s="46" customFormat="1" ht="19.5" customHeight="1">
      <c r="B165" s="56"/>
      <c r="C165" s="155">
        <f>IF(B165&lt;&gt;"",VLOOKUP(B165,'Tipo Projeto'!$A$3:$B$44,2,0),0)</f>
        <v>0</v>
      </c>
      <c r="D165" s="44"/>
      <c r="E165" s="44"/>
      <c r="F165" s="45"/>
      <c r="G165" s="44"/>
      <c r="H165" s="189"/>
      <c r="I165" s="149">
        <f t="shared" si="4"/>
        <v>0</v>
      </c>
      <c r="J165" s="149">
        <f t="shared" si="5"/>
        <v>0</v>
      </c>
      <c r="K165" s="44"/>
      <c r="L165" s="220"/>
    </row>
    <row r="166" spans="2:12" s="46" customFormat="1" ht="19.5" customHeight="1">
      <c r="B166" s="56"/>
      <c r="C166" s="155">
        <f>IF(B166&lt;&gt;"",VLOOKUP(B166,'Tipo Projeto'!$A$3:$B$44,2,0),0)</f>
        <v>0</v>
      </c>
      <c r="D166" s="44"/>
      <c r="E166" s="44"/>
      <c r="F166" s="45"/>
      <c r="G166" s="44"/>
      <c r="H166" s="189"/>
      <c r="I166" s="149">
        <f t="shared" si="4"/>
        <v>0</v>
      </c>
      <c r="J166" s="149">
        <f t="shared" si="5"/>
        <v>0</v>
      </c>
      <c r="K166" s="44"/>
      <c r="L166" s="220"/>
    </row>
    <row r="167" spans="2:12" s="46" customFormat="1" ht="19.5" customHeight="1">
      <c r="B167" s="56"/>
      <c r="C167" s="155">
        <f>IF(B167&lt;&gt;"",VLOOKUP(B167,'Tipo Projeto'!$A$3:$B$44,2,0),0)</f>
        <v>0</v>
      </c>
      <c r="D167" s="44"/>
      <c r="E167" s="44"/>
      <c r="F167" s="45"/>
      <c r="G167" s="44"/>
      <c r="H167" s="189"/>
      <c r="I167" s="149">
        <f t="shared" si="4"/>
        <v>0</v>
      </c>
      <c r="J167" s="149">
        <f t="shared" si="5"/>
        <v>0</v>
      </c>
      <c r="K167" s="44"/>
      <c r="L167" s="220"/>
    </row>
    <row r="168" spans="2:12" s="46" customFormat="1" ht="19.5" customHeight="1">
      <c r="B168" s="56"/>
      <c r="C168" s="155">
        <f>IF(B168&lt;&gt;"",VLOOKUP(B168,'Tipo Projeto'!$A$3:$B$44,2,0),0)</f>
        <v>0</v>
      </c>
      <c r="D168" s="44"/>
      <c r="E168" s="44"/>
      <c r="F168" s="45"/>
      <c r="G168" s="44"/>
      <c r="H168" s="189"/>
      <c r="I168" s="149">
        <f t="shared" si="4"/>
        <v>0</v>
      </c>
      <c r="J168" s="149">
        <f t="shared" si="5"/>
        <v>0</v>
      </c>
      <c r="K168" s="44"/>
      <c r="L168" s="220"/>
    </row>
    <row r="169" spans="2:12" s="46" customFormat="1" ht="19.5" customHeight="1">
      <c r="B169" s="56"/>
      <c r="C169" s="155">
        <f>IF(B169&lt;&gt;"",VLOOKUP(B169,'Tipo Projeto'!$A$3:$B$44,2,0),0)</f>
        <v>0</v>
      </c>
      <c r="D169" s="44"/>
      <c r="E169" s="44"/>
      <c r="F169" s="45"/>
      <c r="G169" s="44"/>
      <c r="H169" s="189"/>
      <c r="I169" s="149">
        <f t="shared" si="4"/>
        <v>0</v>
      </c>
      <c r="J169" s="149">
        <f t="shared" si="5"/>
        <v>0</v>
      </c>
      <c r="K169" s="44"/>
      <c r="L169" s="220"/>
    </row>
    <row r="170" spans="2:12" s="46" customFormat="1" ht="19.5" customHeight="1">
      <c r="B170" s="56"/>
      <c r="C170" s="155">
        <f>IF(B170&lt;&gt;"",VLOOKUP(B170,'Tipo Projeto'!$A$3:$B$44,2,0),0)</f>
        <v>0</v>
      </c>
      <c r="D170" s="44"/>
      <c r="E170" s="44"/>
      <c r="F170" s="45"/>
      <c r="G170" s="44"/>
      <c r="H170" s="189"/>
      <c r="I170" s="149">
        <f t="shared" si="4"/>
        <v>0</v>
      </c>
      <c r="J170" s="149">
        <f t="shared" si="5"/>
        <v>0</v>
      </c>
      <c r="K170" s="44"/>
      <c r="L170" s="220"/>
    </row>
    <row r="171" spans="2:12" s="46" customFormat="1" ht="19.5" customHeight="1">
      <c r="B171" s="56"/>
      <c r="C171" s="155">
        <f>IF(B171&lt;&gt;"",VLOOKUP(B171,'Tipo Projeto'!$A$3:$B$44,2,0),0)</f>
        <v>0</v>
      </c>
      <c r="D171" s="44"/>
      <c r="E171" s="44"/>
      <c r="F171" s="45"/>
      <c r="G171" s="44"/>
      <c r="H171" s="189"/>
      <c r="I171" s="149">
        <f t="shared" si="4"/>
        <v>0</v>
      </c>
      <c r="J171" s="149">
        <f t="shared" si="5"/>
        <v>0</v>
      </c>
      <c r="K171" s="44"/>
      <c r="L171" s="220"/>
    </row>
    <row r="172" spans="2:12" s="46" customFormat="1" ht="19.5" customHeight="1">
      <c r="B172" s="56"/>
      <c r="C172" s="155">
        <f>IF(B172&lt;&gt;"",VLOOKUP(B172,'Tipo Projeto'!$A$3:$B$44,2,0),0)</f>
        <v>0</v>
      </c>
      <c r="D172" s="44"/>
      <c r="E172" s="44"/>
      <c r="F172" s="45"/>
      <c r="G172" s="44"/>
      <c r="H172" s="189"/>
      <c r="I172" s="149">
        <f t="shared" si="4"/>
        <v>0</v>
      </c>
      <c r="J172" s="149">
        <f t="shared" si="5"/>
        <v>0</v>
      </c>
      <c r="K172" s="44"/>
      <c r="L172" s="220"/>
    </row>
    <row r="173" spans="2:12" s="46" customFormat="1" ht="19.5" customHeight="1">
      <c r="B173" s="56"/>
      <c r="C173" s="155">
        <f>IF(B173&lt;&gt;"",VLOOKUP(B173,'Tipo Projeto'!$A$3:$B$44,2,0),0)</f>
        <v>0</v>
      </c>
      <c r="D173" s="44"/>
      <c r="E173" s="44"/>
      <c r="F173" s="45"/>
      <c r="G173" s="44"/>
      <c r="H173" s="189"/>
      <c r="I173" s="149">
        <f t="shared" si="4"/>
        <v>0</v>
      </c>
      <c r="J173" s="149">
        <f t="shared" si="5"/>
        <v>0</v>
      </c>
      <c r="K173" s="44"/>
      <c r="L173" s="220"/>
    </row>
    <row r="174" spans="2:12" s="46" customFormat="1" ht="19.5" customHeight="1">
      <c r="B174" s="56"/>
      <c r="C174" s="155">
        <f>IF(B174&lt;&gt;"",VLOOKUP(B174,'Tipo Projeto'!$A$3:$B$44,2,0),0)</f>
        <v>0</v>
      </c>
      <c r="D174" s="44"/>
      <c r="E174" s="44"/>
      <c r="F174" s="45"/>
      <c r="G174" s="44"/>
      <c r="H174" s="189"/>
      <c r="I174" s="149">
        <f t="shared" si="4"/>
        <v>0</v>
      </c>
      <c r="J174" s="149">
        <f t="shared" si="5"/>
        <v>0</v>
      </c>
      <c r="K174" s="44"/>
      <c r="L174" s="220"/>
    </row>
    <row r="175" spans="2:12" s="46" customFormat="1" ht="19.5" customHeight="1">
      <c r="B175" s="56"/>
      <c r="C175" s="155">
        <f>IF(B175&lt;&gt;"",VLOOKUP(B175,'Tipo Projeto'!$A$3:$B$44,2,0),0)</f>
        <v>0</v>
      </c>
      <c r="D175" s="44"/>
      <c r="E175" s="44"/>
      <c r="F175" s="45"/>
      <c r="G175" s="44"/>
      <c r="H175" s="189"/>
      <c r="I175" s="149">
        <f t="shared" si="4"/>
        <v>0</v>
      </c>
      <c r="J175" s="149">
        <f t="shared" si="5"/>
        <v>0</v>
      </c>
      <c r="K175" s="44"/>
      <c r="L175" s="220"/>
    </row>
    <row r="176" spans="2:12" s="46" customFormat="1" ht="19.5" customHeight="1">
      <c r="B176" s="56"/>
      <c r="C176" s="155">
        <f>IF(B176&lt;&gt;"",VLOOKUP(B176,'Tipo Projeto'!$A$3:$B$44,2,0),0)</f>
        <v>0</v>
      </c>
      <c r="D176" s="44"/>
      <c r="E176" s="44"/>
      <c r="F176" s="45"/>
      <c r="G176" s="44"/>
      <c r="H176" s="189"/>
      <c r="I176" s="149">
        <f t="shared" si="4"/>
        <v>0</v>
      </c>
      <c r="J176" s="149">
        <f t="shared" si="5"/>
        <v>0</v>
      </c>
      <c r="K176" s="44"/>
      <c r="L176" s="220"/>
    </row>
    <row r="177" spans="2:12" s="46" customFormat="1" ht="19.5" customHeight="1">
      <c r="B177" s="56"/>
      <c r="C177" s="155">
        <f>IF(B177&lt;&gt;"",VLOOKUP(B177,'Tipo Projeto'!$A$3:$B$44,2,0),0)</f>
        <v>0</v>
      </c>
      <c r="D177" s="44"/>
      <c r="E177" s="44"/>
      <c r="F177" s="45"/>
      <c r="G177" s="44"/>
      <c r="H177" s="189"/>
      <c r="I177" s="149">
        <f t="shared" si="4"/>
        <v>0</v>
      </c>
      <c r="J177" s="149">
        <f t="shared" si="5"/>
        <v>0</v>
      </c>
      <c r="K177" s="44"/>
      <c r="L177" s="220"/>
    </row>
    <row r="178" spans="2:12" s="46" customFormat="1" ht="19.5" customHeight="1">
      <c r="B178" s="56"/>
      <c r="C178" s="155">
        <f>IF(B178&lt;&gt;"",VLOOKUP(B178,'Tipo Projeto'!$A$3:$B$44,2,0),0)</f>
        <v>0</v>
      </c>
      <c r="D178" s="44"/>
      <c r="E178" s="44"/>
      <c r="F178" s="45"/>
      <c r="G178" s="44"/>
      <c r="H178" s="189"/>
      <c r="I178" s="149">
        <f t="shared" si="4"/>
        <v>0</v>
      </c>
      <c r="J178" s="149">
        <f t="shared" si="5"/>
        <v>0</v>
      </c>
      <c r="K178" s="44"/>
      <c r="L178" s="220"/>
    </row>
    <row r="179" spans="2:12" s="46" customFormat="1" ht="19.5" customHeight="1">
      <c r="B179" s="56"/>
      <c r="C179" s="155">
        <f>IF(B179&lt;&gt;"",VLOOKUP(B179,'Tipo Projeto'!$A$3:$B$44,2,0),0)</f>
        <v>0</v>
      </c>
      <c r="D179" s="44"/>
      <c r="E179" s="44"/>
      <c r="F179" s="45"/>
      <c r="G179" s="44"/>
      <c r="H179" s="189"/>
      <c r="I179" s="149">
        <f t="shared" si="4"/>
        <v>0</v>
      </c>
      <c r="J179" s="149">
        <f t="shared" si="5"/>
        <v>0</v>
      </c>
      <c r="K179" s="44"/>
      <c r="L179" s="220"/>
    </row>
    <row r="180" spans="2:12" s="46" customFormat="1" ht="19.5" customHeight="1">
      <c r="B180" s="56"/>
      <c r="C180" s="155">
        <f>IF(B180&lt;&gt;"",VLOOKUP(B180,'Tipo Projeto'!$A$3:$B$44,2,0),0)</f>
        <v>0</v>
      </c>
      <c r="D180" s="44"/>
      <c r="E180" s="44"/>
      <c r="F180" s="45"/>
      <c r="G180" s="44"/>
      <c r="H180" s="189"/>
      <c r="I180" s="149">
        <f t="shared" si="4"/>
        <v>0</v>
      </c>
      <c r="J180" s="149">
        <f t="shared" si="5"/>
        <v>0</v>
      </c>
      <c r="K180" s="44"/>
      <c r="L180" s="220"/>
    </row>
    <row r="181" spans="2:12" s="46" customFormat="1" ht="19.5" customHeight="1">
      <c r="B181" s="56"/>
      <c r="C181" s="155">
        <f>IF(B181&lt;&gt;"",VLOOKUP(B181,'Tipo Projeto'!$A$3:$B$44,2,0),0)</f>
        <v>0</v>
      </c>
      <c r="D181" s="44"/>
      <c r="E181" s="44"/>
      <c r="F181" s="45"/>
      <c r="G181" s="44"/>
      <c r="H181" s="189"/>
      <c r="I181" s="149">
        <f t="shared" si="4"/>
        <v>0</v>
      </c>
      <c r="J181" s="149">
        <f t="shared" si="5"/>
        <v>0</v>
      </c>
      <c r="K181" s="44"/>
      <c r="L181" s="220"/>
    </row>
    <row r="182" spans="2:12" s="46" customFormat="1" ht="19.5" customHeight="1">
      <c r="B182" s="56"/>
      <c r="C182" s="155">
        <f>IF(B182&lt;&gt;"",VLOOKUP(B182,'Tipo Projeto'!$A$3:$B$44,2,0),0)</f>
        <v>0</v>
      </c>
      <c r="D182" s="44"/>
      <c r="E182" s="44"/>
      <c r="F182" s="45"/>
      <c r="G182" s="44"/>
      <c r="H182" s="189"/>
      <c r="I182" s="149">
        <f t="shared" si="4"/>
        <v>0</v>
      </c>
      <c r="J182" s="149">
        <f t="shared" si="5"/>
        <v>0</v>
      </c>
      <c r="K182" s="44"/>
      <c r="L182" s="220"/>
    </row>
    <row r="183" spans="2:12" s="46" customFormat="1" ht="19.5" customHeight="1">
      <c r="B183" s="56"/>
      <c r="C183" s="155">
        <f>IF(B183&lt;&gt;"",VLOOKUP(B183,'Tipo Projeto'!$A$3:$B$44,2,0),0)</f>
        <v>0</v>
      </c>
      <c r="D183" s="44"/>
      <c r="E183" s="44"/>
      <c r="F183" s="45"/>
      <c r="G183" s="44"/>
      <c r="H183" s="189"/>
      <c r="I183" s="149">
        <f t="shared" si="4"/>
        <v>0</v>
      </c>
      <c r="J183" s="149">
        <f t="shared" si="5"/>
        <v>0</v>
      </c>
      <c r="K183" s="44"/>
      <c r="L183" s="220"/>
    </row>
    <row r="184" spans="2:12" s="46" customFormat="1" ht="19.5" customHeight="1">
      <c r="B184" s="56"/>
      <c r="C184" s="155">
        <f>IF(B184&lt;&gt;"",VLOOKUP(B184,'Tipo Projeto'!$A$3:$B$44,2,0),0)</f>
        <v>0</v>
      </c>
      <c r="D184" s="44"/>
      <c r="E184" s="44"/>
      <c r="F184" s="45"/>
      <c r="G184" s="44"/>
      <c r="H184" s="189"/>
      <c r="I184" s="149">
        <f t="shared" si="4"/>
        <v>0</v>
      </c>
      <c r="J184" s="149">
        <f t="shared" si="5"/>
        <v>0</v>
      </c>
      <c r="K184" s="44"/>
      <c r="L184" s="220"/>
    </row>
    <row r="185" spans="2:12" s="46" customFormat="1" ht="19.5" customHeight="1">
      <c r="B185" s="56"/>
      <c r="C185" s="155">
        <f>IF(B185&lt;&gt;"",VLOOKUP(B185,'Tipo Projeto'!$A$3:$B$44,2,0),0)</f>
        <v>0</v>
      </c>
      <c r="D185" s="44"/>
      <c r="E185" s="44"/>
      <c r="F185" s="45"/>
      <c r="G185" s="44"/>
      <c r="H185" s="189"/>
      <c r="I185" s="149">
        <f t="shared" si="4"/>
        <v>0</v>
      </c>
      <c r="J185" s="149">
        <f t="shared" si="5"/>
        <v>0</v>
      </c>
      <c r="K185" s="44"/>
      <c r="L185" s="220"/>
    </row>
    <row r="186" spans="2:12" s="46" customFormat="1" ht="19.5" customHeight="1">
      <c r="B186" s="56"/>
      <c r="C186" s="155">
        <f>IF(B186&lt;&gt;"",VLOOKUP(B186,'Tipo Projeto'!$A$3:$B$44,2,0),0)</f>
        <v>0</v>
      </c>
      <c r="D186" s="44"/>
      <c r="E186" s="44"/>
      <c r="F186" s="45"/>
      <c r="G186" s="44"/>
      <c r="H186" s="189"/>
      <c r="I186" s="149">
        <f t="shared" si="4"/>
        <v>0</v>
      </c>
      <c r="J186" s="149">
        <f t="shared" si="5"/>
        <v>0</v>
      </c>
      <c r="K186" s="44"/>
      <c r="L186" s="220"/>
    </row>
    <row r="187" spans="2:12" s="46" customFormat="1" ht="19.5" customHeight="1">
      <c r="B187" s="56"/>
      <c r="C187" s="155">
        <f>IF(B187&lt;&gt;"",VLOOKUP(B187,'Tipo Projeto'!$A$3:$B$44,2,0),0)</f>
        <v>0</v>
      </c>
      <c r="D187" s="44"/>
      <c r="E187" s="44"/>
      <c r="F187" s="45"/>
      <c r="G187" s="44"/>
      <c r="H187" s="189"/>
      <c r="I187" s="149">
        <f t="shared" si="4"/>
        <v>0</v>
      </c>
      <c r="J187" s="149">
        <f t="shared" si="5"/>
        <v>0</v>
      </c>
      <c r="K187" s="44"/>
      <c r="L187" s="220"/>
    </row>
    <row r="188" spans="2:12" s="46" customFormat="1" ht="19.5" customHeight="1">
      <c r="B188" s="56"/>
      <c r="C188" s="155">
        <f>IF(B188&lt;&gt;"",VLOOKUP(B188,'Tipo Projeto'!$A$3:$B$44,2,0),0)</f>
        <v>0</v>
      </c>
      <c r="D188" s="44"/>
      <c r="E188" s="44"/>
      <c r="F188" s="45"/>
      <c r="G188" s="44"/>
      <c r="H188" s="189"/>
      <c r="I188" s="149">
        <f t="shared" si="4"/>
        <v>0</v>
      </c>
      <c r="J188" s="149">
        <f t="shared" si="5"/>
        <v>0</v>
      </c>
      <c r="K188" s="44"/>
      <c r="L188" s="220"/>
    </row>
    <row r="189" spans="2:12" s="46" customFormat="1" ht="19.5" customHeight="1">
      <c r="B189" s="56"/>
      <c r="C189" s="155">
        <f>IF(B189&lt;&gt;"",VLOOKUP(B189,'Tipo Projeto'!$A$3:$B$44,2,0),0)</f>
        <v>0</v>
      </c>
      <c r="D189" s="44"/>
      <c r="E189" s="44"/>
      <c r="F189" s="45"/>
      <c r="G189" s="44"/>
      <c r="H189" s="189"/>
      <c r="I189" s="149">
        <f t="shared" si="4"/>
        <v>0</v>
      </c>
      <c r="J189" s="149">
        <f t="shared" si="5"/>
        <v>0</v>
      </c>
      <c r="K189" s="44"/>
      <c r="L189" s="220"/>
    </row>
    <row r="190" spans="2:12" s="46" customFormat="1" ht="19.5" customHeight="1">
      <c r="B190" s="56"/>
      <c r="C190" s="155">
        <f>IF(B190&lt;&gt;"",VLOOKUP(B190,'Tipo Projeto'!$A$3:$B$44,2,0),0)</f>
        <v>0</v>
      </c>
      <c r="D190" s="44"/>
      <c r="E190" s="44"/>
      <c r="F190" s="45"/>
      <c r="G190" s="44"/>
      <c r="H190" s="189"/>
      <c r="I190" s="149">
        <f t="shared" si="4"/>
        <v>0</v>
      </c>
      <c r="J190" s="149">
        <f t="shared" si="5"/>
        <v>0</v>
      </c>
      <c r="K190" s="44"/>
      <c r="L190" s="220"/>
    </row>
    <row r="191" spans="2:12" s="46" customFormat="1" ht="19.5" customHeight="1">
      <c r="B191" s="56"/>
      <c r="C191" s="155">
        <f>IF(B191&lt;&gt;"",VLOOKUP(B191,'Tipo Projeto'!$A$3:$B$44,2,0),0)</f>
        <v>0</v>
      </c>
      <c r="D191" s="44"/>
      <c r="E191" s="44"/>
      <c r="F191" s="45"/>
      <c r="G191" s="44"/>
      <c r="H191" s="189"/>
      <c r="I191" s="149">
        <f t="shared" si="4"/>
        <v>0</v>
      </c>
      <c r="J191" s="149">
        <f t="shared" si="5"/>
        <v>0</v>
      </c>
      <c r="K191" s="44"/>
      <c r="L191" s="220"/>
    </row>
    <row r="192" spans="2:12" s="46" customFormat="1" ht="19.5" customHeight="1">
      <c r="B192" s="56"/>
      <c r="C192" s="155">
        <f>IF(B192&lt;&gt;"",VLOOKUP(B192,'Tipo Projeto'!$A$3:$B$44,2,0),0)</f>
        <v>0</v>
      </c>
      <c r="D192" s="44"/>
      <c r="E192" s="44"/>
      <c r="F192" s="45"/>
      <c r="G192" s="44"/>
      <c r="H192" s="189"/>
      <c r="I192" s="149">
        <f t="shared" si="4"/>
        <v>0</v>
      </c>
      <c r="J192" s="149">
        <f t="shared" si="5"/>
        <v>0</v>
      </c>
      <c r="K192" s="44"/>
      <c r="L192" s="220"/>
    </row>
    <row r="193" spans="2:12" s="46" customFormat="1" ht="19.5" customHeight="1">
      <c r="B193" s="56"/>
      <c r="C193" s="155">
        <f>IF(B193&lt;&gt;"",VLOOKUP(B193,'Tipo Projeto'!$A$3:$B$44,2,0),0)</f>
        <v>0</v>
      </c>
      <c r="D193" s="44"/>
      <c r="E193" s="44"/>
      <c r="F193" s="45"/>
      <c r="G193" s="44"/>
      <c r="H193" s="189"/>
      <c r="I193" s="149">
        <f t="shared" si="4"/>
        <v>0</v>
      </c>
      <c r="J193" s="149">
        <f t="shared" si="5"/>
        <v>0</v>
      </c>
      <c r="K193" s="44"/>
      <c r="L193" s="220"/>
    </row>
    <row r="194" spans="2:12" s="46" customFormat="1" ht="19.5" customHeight="1">
      <c r="B194" s="56"/>
      <c r="C194" s="155">
        <f>IF(B194&lt;&gt;"",VLOOKUP(B194,'Tipo Projeto'!$A$3:$B$44,2,0),0)</f>
        <v>0</v>
      </c>
      <c r="D194" s="44"/>
      <c r="E194" s="44"/>
      <c r="F194" s="45"/>
      <c r="G194" s="44"/>
      <c r="H194" s="189"/>
      <c r="I194" s="149">
        <f t="shared" si="4"/>
        <v>0</v>
      </c>
      <c r="J194" s="149">
        <f t="shared" si="5"/>
        <v>0</v>
      </c>
      <c r="K194" s="44"/>
      <c r="L194" s="220"/>
    </row>
    <row r="195" spans="2:12" s="46" customFormat="1" ht="19.5" customHeight="1">
      <c r="B195" s="56"/>
      <c r="C195" s="155">
        <f>IF(B195&lt;&gt;"",VLOOKUP(B195,'Tipo Projeto'!$A$3:$B$44,2,0),0)</f>
        <v>0</v>
      </c>
      <c r="D195" s="44"/>
      <c r="E195" s="44"/>
      <c r="F195" s="45"/>
      <c r="G195" s="44"/>
      <c r="H195" s="189"/>
      <c r="I195" s="149">
        <f t="shared" si="4"/>
        <v>0</v>
      </c>
      <c r="J195" s="149">
        <f t="shared" si="5"/>
        <v>0</v>
      </c>
      <c r="K195" s="44"/>
      <c r="L195" s="220"/>
    </row>
    <row r="196" spans="2:12" s="46" customFormat="1" ht="19.5" customHeight="1">
      <c r="B196" s="56"/>
      <c r="C196" s="155">
        <f>IF(B196&lt;&gt;"",VLOOKUP(B196,'Tipo Projeto'!$A$3:$B$44,2,0),0)</f>
        <v>0</v>
      </c>
      <c r="D196" s="44"/>
      <c r="E196" s="44"/>
      <c r="F196" s="45"/>
      <c r="G196" s="44"/>
      <c r="H196" s="189"/>
      <c r="I196" s="149">
        <f t="shared" si="4"/>
        <v>0</v>
      </c>
      <c r="J196" s="149">
        <f t="shared" si="5"/>
        <v>0</v>
      </c>
      <c r="K196" s="44"/>
      <c r="L196" s="220"/>
    </row>
    <row r="197" spans="2:12" s="46" customFormat="1" ht="19.5" customHeight="1">
      <c r="B197" s="56"/>
      <c r="C197" s="155">
        <f>IF(B197&lt;&gt;"",VLOOKUP(B197,'Tipo Projeto'!$A$3:$B$44,2,0),0)</f>
        <v>0</v>
      </c>
      <c r="D197" s="44"/>
      <c r="E197" s="44"/>
      <c r="F197" s="45"/>
      <c r="G197" s="44"/>
      <c r="H197" s="189"/>
      <c r="I197" s="149">
        <f t="shared" si="4"/>
        <v>0</v>
      </c>
      <c r="J197" s="149">
        <f t="shared" si="5"/>
        <v>0</v>
      </c>
      <c r="K197" s="44"/>
      <c r="L197" s="220"/>
    </row>
    <row r="198" spans="2:12" s="46" customFormat="1" ht="19.5" customHeight="1">
      <c r="B198" s="56"/>
      <c r="C198" s="155">
        <f>IF(B198&lt;&gt;"",VLOOKUP(B198,'Tipo Projeto'!$A$3:$B$44,2,0),0)</f>
        <v>0</v>
      </c>
      <c r="D198" s="44"/>
      <c r="E198" s="44"/>
      <c r="F198" s="45"/>
      <c r="G198" s="44"/>
      <c r="H198" s="189"/>
      <c r="I198" s="149">
        <f t="shared" si="4"/>
        <v>0</v>
      </c>
      <c r="J198" s="149">
        <f t="shared" si="5"/>
        <v>0</v>
      </c>
      <c r="K198" s="44"/>
      <c r="L198" s="220"/>
    </row>
    <row r="199" spans="2:12" s="46" customFormat="1" ht="19.5" customHeight="1">
      <c r="B199" s="56"/>
      <c r="C199" s="155">
        <f>IF(B199&lt;&gt;"",VLOOKUP(B199,'Tipo Projeto'!$A$3:$B$44,2,0),0)</f>
        <v>0</v>
      </c>
      <c r="D199" s="44"/>
      <c r="E199" s="44"/>
      <c r="F199" s="45"/>
      <c r="G199" s="44"/>
      <c r="H199" s="189"/>
      <c r="I199" s="149">
        <f t="shared" si="4"/>
        <v>0</v>
      </c>
      <c r="J199" s="149">
        <f t="shared" si="5"/>
        <v>0</v>
      </c>
      <c r="K199" s="44"/>
      <c r="L199" s="220"/>
    </row>
    <row r="200" spans="2:12" s="46" customFormat="1" ht="19.5" customHeight="1">
      <c r="B200" s="56"/>
      <c r="C200" s="155">
        <f>IF(B200&lt;&gt;"",VLOOKUP(B200,'Tipo Projeto'!$A$3:$B$44,2,0),0)</f>
        <v>0</v>
      </c>
      <c r="D200" s="44"/>
      <c r="E200" s="44"/>
      <c r="F200" s="45"/>
      <c r="G200" s="44"/>
      <c r="H200" s="189"/>
      <c r="I200" s="149">
        <f t="shared" si="4"/>
        <v>0</v>
      </c>
      <c r="J200" s="149">
        <f t="shared" si="5"/>
        <v>0</v>
      </c>
      <c r="K200" s="44"/>
      <c r="L200" s="220"/>
    </row>
    <row r="201" spans="2:12" s="46" customFormat="1" ht="19.5" customHeight="1">
      <c r="B201" s="56"/>
      <c r="C201" s="155">
        <f>IF(B201&lt;&gt;"",VLOOKUP(B201,'Tipo Projeto'!$A$3:$B$44,2,0),0)</f>
        <v>0</v>
      </c>
      <c r="D201" s="44"/>
      <c r="E201" s="44"/>
      <c r="F201" s="45"/>
      <c r="G201" s="44"/>
      <c r="H201" s="189"/>
      <c r="I201" s="149">
        <f t="shared" si="4"/>
        <v>0</v>
      </c>
      <c r="J201" s="149">
        <f t="shared" si="5"/>
        <v>0</v>
      </c>
      <c r="K201" s="44"/>
      <c r="L201" s="220"/>
    </row>
    <row r="202" spans="2:12" s="46" customFormat="1" ht="19.5" customHeight="1">
      <c r="B202" s="56"/>
      <c r="C202" s="155">
        <f>IF(B202&lt;&gt;"",VLOOKUP(B202,'Tipo Projeto'!$A$3:$B$44,2,0),0)</f>
        <v>0</v>
      </c>
      <c r="D202" s="44"/>
      <c r="E202" s="44"/>
      <c r="F202" s="45"/>
      <c r="G202" s="44"/>
      <c r="H202" s="189"/>
      <c r="I202" s="149">
        <f t="shared" si="4"/>
        <v>0</v>
      </c>
      <c r="J202" s="149">
        <f t="shared" si="5"/>
        <v>0</v>
      </c>
      <c r="K202" s="44"/>
      <c r="L202" s="220"/>
    </row>
    <row r="203" spans="2:12" s="46" customFormat="1" ht="19.5" customHeight="1">
      <c r="B203" s="56"/>
      <c r="C203" s="155">
        <f>IF(B203&lt;&gt;"",VLOOKUP(B203,'Tipo Projeto'!$A$3:$B$44,2,0),0)</f>
        <v>0</v>
      </c>
      <c r="D203" s="44"/>
      <c r="E203" s="44"/>
      <c r="F203" s="45"/>
      <c r="G203" s="44"/>
      <c r="H203" s="189"/>
      <c r="I203" s="149">
        <f t="shared" ref="I203:I266" si="6">IF(G203="INM",C203*H203,IF(B203&lt;&gt;"Manutenção em interface",IF(B203&lt;&gt;"Desenv., Manutenção e Publicação de Páginas Estáticas",IF(G203="EE",4,IF(G203="CE",4,IF(G203="SE",5,IF(G203="ALI",7,IF(G203="AIE",5,0)))))*1,0),0))</f>
        <v>0</v>
      </c>
      <c r="J203" s="149">
        <f t="shared" ref="J203:J266" si="7">IF(G203="INM",C203*H203,IF(B203&lt;&gt;"Manutenção em interface",IF(B203&lt;&gt;"Desenv., Manutenção e Publicação de Páginas Estáticas",IF(G203="EE",4,IF(G203="CE",4,IF(G203="SE",5,IF(G203="ALI",7,IF(G203="AIE",5,0)))))*C203,C203),C203))</f>
        <v>0</v>
      </c>
      <c r="K203" s="44"/>
      <c r="L203" s="220"/>
    </row>
    <row r="204" spans="2:12" s="46" customFormat="1" ht="19.5" customHeight="1">
      <c r="B204" s="56"/>
      <c r="C204" s="155">
        <f>IF(B204&lt;&gt;"",VLOOKUP(B204,'Tipo Projeto'!$A$3:$B$44,2,0),0)</f>
        <v>0</v>
      </c>
      <c r="D204" s="44"/>
      <c r="E204" s="44"/>
      <c r="F204" s="45"/>
      <c r="G204" s="44"/>
      <c r="H204" s="189"/>
      <c r="I204" s="149">
        <f t="shared" si="6"/>
        <v>0</v>
      </c>
      <c r="J204" s="149">
        <f t="shared" si="7"/>
        <v>0</v>
      </c>
      <c r="K204" s="44"/>
      <c r="L204" s="220"/>
    </row>
    <row r="205" spans="2:12" s="46" customFormat="1" ht="19.5" customHeight="1">
      <c r="B205" s="56"/>
      <c r="C205" s="155">
        <f>IF(B205&lt;&gt;"",VLOOKUP(B205,'Tipo Projeto'!$A$3:$B$44,2,0),0)</f>
        <v>0</v>
      </c>
      <c r="D205" s="44"/>
      <c r="E205" s="44"/>
      <c r="F205" s="45"/>
      <c r="G205" s="44"/>
      <c r="H205" s="189"/>
      <c r="I205" s="149">
        <f t="shared" si="6"/>
        <v>0</v>
      </c>
      <c r="J205" s="149">
        <f t="shared" si="7"/>
        <v>0</v>
      </c>
      <c r="K205" s="44"/>
      <c r="L205" s="220"/>
    </row>
    <row r="206" spans="2:12" s="46" customFormat="1" ht="19.5" customHeight="1">
      <c r="B206" s="56"/>
      <c r="C206" s="155">
        <f>IF(B206&lt;&gt;"",VLOOKUP(B206,'Tipo Projeto'!$A$3:$B$44,2,0),0)</f>
        <v>0</v>
      </c>
      <c r="D206" s="44"/>
      <c r="E206" s="44"/>
      <c r="F206" s="45"/>
      <c r="G206" s="44"/>
      <c r="H206" s="189"/>
      <c r="I206" s="149">
        <f t="shared" si="6"/>
        <v>0</v>
      </c>
      <c r="J206" s="149">
        <f t="shared" si="7"/>
        <v>0</v>
      </c>
      <c r="K206" s="44"/>
      <c r="L206" s="220"/>
    </row>
    <row r="207" spans="2:12" s="46" customFormat="1" ht="19.5" customHeight="1">
      <c r="B207" s="56"/>
      <c r="C207" s="155">
        <f>IF(B207&lt;&gt;"",VLOOKUP(B207,'Tipo Projeto'!$A$3:$B$44,2,0),0)</f>
        <v>0</v>
      </c>
      <c r="D207" s="44"/>
      <c r="E207" s="44"/>
      <c r="F207" s="45"/>
      <c r="G207" s="44"/>
      <c r="H207" s="189"/>
      <c r="I207" s="149">
        <f t="shared" si="6"/>
        <v>0</v>
      </c>
      <c r="J207" s="149">
        <f t="shared" si="7"/>
        <v>0</v>
      </c>
      <c r="K207" s="44"/>
      <c r="L207" s="220"/>
    </row>
    <row r="208" spans="2:12" s="46" customFormat="1" ht="19.5" customHeight="1">
      <c r="B208" s="56"/>
      <c r="C208" s="155">
        <f>IF(B208&lt;&gt;"",VLOOKUP(B208,'Tipo Projeto'!$A$3:$B$44,2,0),0)</f>
        <v>0</v>
      </c>
      <c r="D208" s="44"/>
      <c r="E208" s="44"/>
      <c r="F208" s="45"/>
      <c r="G208" s="44"/>
      <c r="H208" s="189"/>
      <c r="I208" s="149">
        <f t="shared" si="6"/>
        <v>0</v>
      </c>
      <c r="J208" s="149">
        <f t="shared" si="7"/>
        <v>0</v>
      </c>
      <c r="K208" s="44"/>
      <c r="L208" s="220"/>
    </row>
    <row r="209" spans="2:12" s="46" customFormat="1" ht="19.5" customHeight="1">
      <c r="B209" s="56"/>
      <c r="C209" s="155">
        <f>IF(B209&lt;&gt;"",VLOOKUP(B209,'Tipo Projeto'!$A$3:$B$44,2,0),0)</f>
        <v>0</v>
      </c>
      <c r="D209" s="44"/>
      <c r="E209" s="44"/>
      <c r="F209" s="45"/>
      <c r="G209" s="44"/>
      <c r="H209" s="189"/>
      <c r="I209" s="149">
        <f t="shared" si="6"/>
        <v>0</v>
      </c>
      <c r="J209" s="149">
        <f t="shared" si="7"/>
        <v>0</v>
      </c>
      <c r="K209" s="44"/>
      <c r="L209" s="220"/>
    </row>
    <row r="210" spans="2:12" s="46" customFormat="1" ht="19.5" customHeight="1">
      <c r="B210" s="56"/>
      <c r="C210" s="155">
        <f>IF(B210&lt;&gt;"",VLOOKUP(B210,'Tipo Projeto'!$A$3:$B$44,2,0),0)</f>
        <v>0</v>
      </c>
      <c r="D210" s="44"/>
      <c r="E210" s="44"/>
      <c r="F210" s="45"/>
      <c r="G210" s="44"/>
      <c r="H210" s="189"/>
      <c r="I210" s="149">
        <f t="shared" si="6"/>
        <v>0</v>
      </c>
      <c r="J210" s="149">
        <f t="shared" si="7"/>
        <v>0</v>
      </c>
      <c r="K210" s="44"/>
      <c r="L210" s="220"/>
    </row>
    <row r="211" spans="2:12" s="46" customFormat="1" ht="19.5" customHeight="1">
      <c r="B211" s="56"/>
      <c r="C211" s="155">
        <f>IF(B211&lt;&gt;"",VLOOKUP(B211,'Tipo Projeto'!$A$3:$B$44,2,0),0)</f>
        <v>0</v>
      </c>
      <c r="D211" s="44"/>
      <c r="E211" s="44"/>
      <c r="F211" s="45"/>
      <c r="G211" s="44"/>
      <c r="H211" s="189"/>
      <c r="I211" s="149">
        <f t="shared" si="6"/>
        <v>0</v>
      </c>
      <c r="J211" s="149">
        <f t="shared" si="7"/>
        <v>0</v>
      </c>
      <c r="K211" s="44"/>
      <c r="L211" s="220"/>
    </row>
    <row r="212" spans="2:12" s="46" customFormat="1" ht="19.5" customHeight="1">
      <c r="B212" s="56"/>
      <c r="C212" s="155">
        <f>IF(B212&lt;&gt;"",VLOOKUP(B212,'Tipo Projeto'!$A$3:$B$44,2,0),0)</f>
        <v>0</v>
      </c>
      <c r="D212" s="44"/>
      <c r="E212" s="44"/>
      <c r="F212" s="45"/>
      <c r="G212" s="44"/>
      <c r="H212" s="189"/>
      <c r="I212" s="149">
        <f t="shared" si="6"/>
        <v>0</v>
      </c>
      <c r="J212" s="149">
        <f t="shared" si="7"/>
        <v>0</v>
      </c>
      <c r="K212" s="44"/>
      <c r="L212" s="220"/>
    </row>
    <row r="213" spans="2:12" s="46" customFormat="1" ht="19.5" customHeight="1">
      <c r="B213" s="56"/>
      <c r="C213" s="155">
        <f>IF(B213&lt;&gt;"",VLOOKUP(B213,'Tipo Projeto'!$A$3:$B$44,2,0),0)</f>
        <v>0</v>
      </c>
      <c r="D213" s="44"/>
      <c r="E213" s="44"/>
      <c r="F213" s="45"/>
      <c r="G213" s="44"/>
      <c r="H213" s="189"/>
      <c r="I213" s="149">
        <f t="shared" si="6"/>
        <v>0</v>
      </c>
      <c r="J213" s="149">
        <f t="shared" si="7"/>
        <v>0</v>
      </c>
      <c r="K213" s="44"/>
      <c r="L213" s="220"/>
    </row>
    <row r="214" spans="2:12" s="46" customFormat="1" ht="19.5" customHeight="1">
      <c r="B214" s="56"/>
      <c r="C214" s="155">
        <f>IF(B214&lt;&gt;"",VLOOKUP(B214,'Tipo Projeto'!$A$3:$B$44,2,0),0)</f>
        <v>0</v>
      </c>
      <c r="D214" s="44"/>
      <c r="E214" s="44"/>
      <c r="F214" s="45"/>
      <c r="G214" s="44"/>
      <c r="H214" s="189"/>
      <c r="I214" s="149">
        <f t="shared" si="6"/>
        <v>0</v>
      </c>
      <c r="J214" s="149">
        <f t="shared" si="7"/>
        <v>0</v>
      </c>
      <c r="K214" s="44"/>
      <c r="L214" s="220"/>
    </row>
    <row r="215" spans="2:12" s="46" customFormat="1" ht="19.5" customHeight="1">
      <c r="B215" s="56"/>
      <c r="C215" s="155">
        <f>IF(B215&lt;&gt;"",VLOOKUP(B215,'Tipo Projeto'!$A$3:$B$44,2,0),0)</f>
        <v>0</v>
      </c>
      <c r="D215" s="44"/>
      <c r="E215" s="44"/>
      <c r="F215" s="45"/>
      <c r="G215" s="44"/>
      <c r="H215" s="189"/>
      <c r="I215" s="149">
        <f t="shared" si="6"/>
        <v>0</v>
      </c>
      <c r="J215" s="149">
        <f t="shared" si="7"/>
        <v>0</v>
      </c>
      <c r="K215" s="44"/>
      <c r="L215" s="220"/>
    </row>
    <row r="216" spans="2:12" s="46" customFormat="1" ht="19.5" customHeight="1">
      <c r="B216" s="56"/>
      <c r="C216" s="155">
        <f>IF(B216&lt;&gt;"",VLOOKUP(B216,'Tipo Projeto'!$A$3:$B$44,2,0),0)</f>
        <v>0</v>
      </c>
      <c r="D216" s="44"/>
      <c r="E216" s="44"/>
      <c r="F216" s="45"/>
      <c r="G216" s="44"/>
      <c r="H216" s="189"/>
      <c r="I216" s="149">
        <f t="shared" si="6"/>
        <v>0</v>
      </c>
      <c r="J216" s="149">
        <f t="shared" si="7"/>
        <v>0</v>
      </c>
      <c r="K216" s="44"/>
      <c r="L216" s="220"/>
    </row>
    <row r="217" spans="2:12" s="46" customFormat="1" ht="19.5" customHeight="1">
      <c r="B217" s="56"/>
      <c r="C217" s="155">
        <f>IF(B217&lt;&gt;"",VLOOKUP(B217,'Tipo Projeto'!$A$3:$B$44,2,0),0)</f>
        <v>0</v>
      </c>
      <c r="D217" s="44"/>
      <c r="E217" s="44"/>
      <c r="F217" s="45"/>
      <c r="G217" s="44"/>
      <c r="H217" s="189"/>
      <c r="I217" s="149">
        <f t="shared" si="6"/>
        <v>0</v>
      </c>
      <c r="J217" s="149">
        <f t="shared" si="7"/>
        <v>0</v>
      </c>
      <c r="K217" s="44"/>
      <c r="L217" s="220"/>
    </row>
    <row r="218" spans="2:12" s="46" customFormat="1" ht="19.5" customHeight="1">
      <c r="B218" s="56"/>
      <c r="C218" s="155">
        <f>IF(B218&lt;&gt;"",VLOOKUP(B218,'Tipo Projeto'!$A$3:$B$44,2,0),0)</f>
        <v>0</v>
      </c>
      <c r="D218" s="44"/>
      <c r="E218" s="44"/>
      <c r="F218" s="45"/>
      <c r="G218" s="44"/>
      <c r="H218" s="189"/>
      <c r="I218" s="149">
        <f t="shared" si="6"/>
        <v>0</v>
      </c>
      <c r="J218" s="149">
        <f t="shared" si="7"/>
        <v>0</v>
      </c>
      <c r="K218" s="44"/>
      <c r="L218" s="220"/>
    </row>
    <row r="219" spans="2:12" s="46" customFormat="1" ht="19.5" customHeight="1">
      <c r="B219" s="56"/>
      <c r="C219" s="155">
        <f>IF(B219&lt;&gt;"",VLOOKUP(B219,'Tipo Projeto'!$A$3:$B$44,2,0),0)</f>
        <v>0</v>
      </c>
      <c r="D219" s="44"/>
      <c r="E219" s="44"/>
      <c r="F219" s="45"/>
      <c r="G219" s="44"/>
      <c r="H219" s="189"/>
      <c r="I219" s="149">
        <f t="shared" si="6"/>
        <v>0</v>
      </c>
      <c r="J219" s="149">
        <f t="shared" si="7"/>
        <v>0</v>
      </c>
      <c r="K219" s="44"/>
      <c r="L219" s="220"/>
    </row>
    <row r="220" spans="2:12" s="46" customFormat="1" ht="19.5" customHeight="1">
      <c r="B220" s="56"/>
      <c r="C220" s="155">
        <f>IF(B220&lt;&gt;"",VLOOKUP(B220,'Tipo Projeto'!$A$3:$B$44,2,0),0)</f>
        <v>0</v>
      </c>
      <c r="D220" s="44"/>
      <c r="E220" s="44"/>
      <c r="F220" s="45"/>
      <c r="G220" s="44"/>
      <c r="H220" s="189"/>
      <c r="I220" s="149">
        <f t="shared" si="6"/>
        <v>0</v>
      </c>
      <c r="J220" s="149">
        <f t="shared" si="7"/>
        <v>0</v>
      </c>
      <c r="K220" s="44"/>
      <c r="L220" s="220"/>
    </row>
    <row r="221" spans="2:12" s="46" customFormat="1" ht="19.5" customHeight="1">
      <c r="B221" s="56"/>
      <c r="C221" s="155">
        <f>IF(B221&lt;&gt;"",VLOOKUP(B221,'Tipo Projeto'!$A$3:$B$44,2,0),0)</f>
        <v>0</v>
      </c>
      <c r="D221" s="44"/>
      <c r="E221" s="44"/>
      <c r="F221" s="45"/>
      <c r="G221" s="44"/>
      <c r="H221" s="189"/>
      <c r="I221" s="149">
        <f t="shared" si="6"/>
        <v>0</v>
      </c>
      <c r="J221" s="149">
        <f t="shared" si="7"/>
        <v>0</v>
      </c>
      <c r="K221" s="44"/>
      <c r="L221" s="220"/>
    </row>
    <row r="222" spans="2:12" s="46" customFormat="1" ht="19.5" customHeight="1">
      <c r="B222" s="56"/>
      <c r="C222" s="155">
        <f>IF(B222&lt;&gt;"",VLOOKUP(B222,'Tipo Projeto'!$A$3:$B$44,2,0),0)</f>
        <v>0</v>
      </c>
      <c r="D222" s="44"/>
      <c r="E222" s="44"/>
      <c r="F222" s="45"/>
      <c r="G222" s="44"/>
      <c r="H222" s="189"/>
      <c r="I222" s="149">
        <f t="shared" si="6"/>
        <v>0</v>
      </c>
      <c r="J222" s="149">
        <f t="shared" si="7"/>
        <v>0</v>
      </c>
      <c r="K222" s="44"/>
      <c r="L222" s="220"/>
    </row>
    <row r="223" spans="2:12" s="46" customFormat="1" ht="19.5" customHeight="1">
      <c r="B223" s="56"/>
      <c r="C223" s="155">
        <f>IF(B223&lt;&gt;"",VLOOKUP(B223,'Tipo Projeto'!$A$3:$B$44,2,0),0)</f>
        <v>0</v>
      </c>
      <c r="D223" s="44"/>
      <c r="E223" s="44"/>
      <c r="F223" s="45"/>
      <c r="G223" s="44"/>
      <c r="H223" s="189"/>
      <c r="I223" s="149">
        <f t="shared" si="6"/>
        <v>0</v>
      </c>
      <c r="J223" s="149">
        <f t="shared" si="7"/>
        <v>0</v>
      </c>
      <c r="K223" s="44"/>
      <c r="L223" s="220"/>
    </row>
    <row r="224" spans="2:12" s="46" customFormat="1" ht="19.5" customHeight="1">
      <c r="B224" s="56"/>
      <c r="C224" s="155">
        <f>IF(B224&lt;&gt;"",VLOOKUP(B224,'Tipo Projeto'!$A$3:$B$44,2,0),0)</f>
        <v>0</v>
      </c>
      <c r="D224" s="44"/>
      <c r="E224" s="44"/>
      <c r="F224" s="45"/>
      <c r="G224" s="44"/>
      <c r="H224" s="189"/>
      <c r="I224" s="149">
        <f t="shared" si="6"/>
        <v>0</v>
      </c>
      <c r="J224" s="149">
        <f t="shared" si="7"/>
        <v>0</v>
      </c>
      <c r="K224" s="44"/>
      <c r="L224" s="220"/>
    </row>
    <row r="225" spans="2:12" s="46" customFormat="1" ht="19.5" customHeight="1">
      <c r="B225" s="56"/>
      <c r="C225" s="155">
        <f>IF(B225&lt;&gt;"",VLOOKUP(B225,'Tipo Projeto'!$A$3:$B$44,2,0),0)</f>
        <v>0</v>
      </c>
      <c r="D225" s="44"/>
      <c r="E225" s="44"/>
      <c r="F225" s="45"/>
      <c r="G225" s="44"/>
      <c r="H225" s="189"/>
      <c r="I225" s="149">
        <f t="shared" si="6"/>
        <v>0</v>
      </c>
      <c r="J225" s="149">
        <f t="shared" si="7"/>
        <v>0</v>
      </c>
      <c r="K225" s="44"/>
      <c r="L225" s="220"/>
    </row>
    <row r="226" spans="2:12" s="46" customFormat="1" ht="19.5" customHeight="1">
      <c r="B226" s="56"/>
      <c r="C226" s="155">
        <f>IF(B226&lt;&gt;"",VLOOKUP(B226,'Tipo Projeto'!$A$3:$B$44,2,0),0)</f>
        <v>0</v>
      </c>
      <c r="D226" s="44"/>
      <c r="E226" s="44"/>
      <c r="F226" s="45"/>
      <c r="G226" s="44"/>
      <c r="H226" s="189"/>
      <c r="I226" s="149">
        <f t="shared" si="6"/>
        <v>0</v>
      </c>
      <c r="J226" s="149">
        <f t="shared" si="7"/>
        <v>0</v>
      </c>
      <c r="K226" s="44"/>
      <c r="L226" s="220"/>
    </row>
    <row r="227" spans="2:12" s="46" customFormat="1" ht="19.5" customHeight="1">
      <c r="B227" s="56"/>
      <c r="C227" s="155">
        <f>IF(B227&lt;&gt;"",VLOOKUP(B227,'Tipo Projeto'!$A$3:$B$44,2,0),0)</f>
        <v>0</v>
      </c>
      <c r="D227" s="44"/>
      <c r="E227" s="44"/>
      <c r="F227" s="45"/>
      <c r="G227" s="44"/>
      <c r="H227" s="189"/>
      <c r="I227" s="149">
        <f t="shared" si="6"/>
        <v>0</v>
      </c>
      <c r="J227" s="149">
        <f t="shared" si="7"/>
        <v>0</v>
      </c>
      <c r="K227" s="44"/>
      <c r="L227" s="220"/>
    </row>
    <row r="228" spans="2:12" s="46" customFormat="1" ht="19.5" customHeight="1">
      <c r="B228" s="56"/>
      <c r="C228" s="155">
        <f>IF(B228&lt;&gt;"",VLOOKUP(B228,'Tipo Projeto'!$A$3:$B$44,2,0),0)</f>
        <v>0</v>
      </c>
      <c r="D228" s="44"/>
      <c r="E228" s="44"/>
      <c r="F228" s="45"/>
      <c r="G228" s="44"/>
      <c r="H228" s="189"/>
      <c r="I228" s="149">
        <f t="shared" si="6"/>
        <v>0</v>
      </c>
      <c r="J228" s="149">
        <f t="shared" si="7"/>
        <v>0</v>
      </c>
      <c r="K228" s="44"/>
      <c r="L228" s="220"/>
    </row>
    <row r="229" spans="2:12" s="46" customFormat="1" ht="19.5" customHeight="1">
      <c r="B229" s="56"/>
      <c r="C229" s="155">
        <f>IF(B229&lt;&gt;"",VLOOKUP(B229,'Tipo Projeto'!$A$3:$B$44,2,0),0)</f>
        <v>0</v>
      </c>
      <c r="D229" s="44"/>
      <c r="E229" s="44"/>
      <c r="F229" s="45"/>
      <c r="G229" s="44"/>
      <c r="H229" s="189"/>
      <c r="I229" s="149">
        <f t="shared" si="6"/>
        <v>0</v>
      </c>
      <c r="J229" s="149">
        <f t="shared" si="7"/>
        <v>0</v>
      </c>
      <c r="K229" s="44"/>
      <c r="L229" s="220"/>
    </row>
    <row r="230" spans="2:12" s="46" customFormat="1" ht="19.5" customHeight="1">
      <c r="B230" s="56"/>
      <c r="C230" s="155">
        <f>IF(B230&lt;&gt;"",VLOOKUP(B230,'Tipo Projeto'!$A$3:$B$44,2,0),0)</f>
        <v>0</v>
      </c>
      <c r="D230" s="44"/>
      <c r="E230" s="44"/>
      <c r="F230" s="45"/>
      <c r="G230" s="44"/>
      <c r="H230" s="189"/>
      <c r="I230" s="149">
        <f t="shared" si="6"/>
        <v>0</v>
      </c>
      <c r="J230" s="149">
        <f t="shared" si="7"/>
        <v>0</v>
      </c>
      <c r="K230" s="44"/>
      <c r="L230" s="220"/>
    </row>
    <row r="231" spans="2:12" s="46" customFormat="1" ht="19.5" customHeight="1">
      <c r="B231" s="56"/>
      <c r="C231" s="155">
        <f>IF(B231&lt;&gt;"",VLOOKUP(B231,'Tipo Projeto'!$A$3:$B$44,2,0),0)</f>
        <v>0</v>
      </c>
      <c r="D231" s="44"/>
      <c r="E231" s="44"/>
      <c r="F231" s="45"/>
      <c r="G231" s="44"/>
      <c r="H231" s="189"/>
      <c r="I231" s="149">
        <f t="shared" si="6"/>
        <v>0</v>
      </c>
      <c r="J231" s="149">
        <f t="shared" si="7"/>
        <v>0</v>
      </c>
      <c r="K231" s="44"/>
      <c r="L231" s="220"/>
    </row>
    <row r="232" spans="2:12" s="46" customFormat="1" ht="19.5" customHeight="1">
      <c r="B232" s="56"/>
      <c r="C232" s="155">
        <f>IF(B232&lt;&gt;"",VLOOKUP(B232,'Tipo Projeto'!$A$3:$B$44,2,0),0)</f>
        <v>0</v>
      </c>
      <c r="D232" s="44"/>
      <c r="E232" s="44"/>
      <c r="F232" s="45"/>
      <c r="G232" s="44"/>
      <c r="H232" s="189"/>
      <c r="I232" s="149">
        <f t="shared" si="6"/>
        <v>0</v>
      </c>
      <c r="J232" s="149">
        <f t="shared" si="7"/>
        <v>0</v>
      </c>
      <c r="K232" s="44"/>
      <c r="L232" s="220"/>
    </row>
    <row r="233" spans="2:12" s="46" customFormat="1" ht="19.5" customHeight="1">
      <c r="B233" s="56"/>
      <c r="C233" s="155">
        <f>IF(B233&lt;&gt;"",VLOOKUP(B233,'Tipo Projeto'!$A$3:$B$44,2,0),0)</f>
        <v>0</v>
      </c>
      <c r="D233" s="44"/>
      <c r="E233" s="44"/>
      <c r="F233" s="45"/>
      <c r="G233" s="44"/>
      <c r="H233" s="189"/>
      <c r="I233" s="149">
        <f t="shared" si="6"/>
        <v>0</v>
      </c>
      <c r="J233" s="149">
        <f t="shared" si="7"/>
        <v>0</v>
      </c>
      <c r="K233" s="44"/>
      <c r="L233" s="220"/>
    </row>
    <row r="234" spans="2:12" s="46" customFormat="1" ht="19.5" customHeight="1">
      <c r="B234" s="56"/>
      <c r="C234" s="155">
        <f>IF(B234&lt;&gt;"",VLOOKUP(B234,'Tipo Projeto'!$A$3:$B$44,2,0),0)</f>
        <v>0</v>
      </c>
      <c r="D234" s="44"/>
      <c r="E234" s="44"/>
      <c r="F234" s="45"/>
      <c r="G234" s="44"/>
      <c r="H234" s="189"/>
      <c r="I234" s="149">
        <f t="shared" si="6"/>
        <v>0</v>
      </c>
      <c r="J234" s="149">
        <f t="shared" si="7"/>
        <v>0</v>
      </c>
      <c r="K234" s="44"/>
      <c r="L234" s="220"/>
    </row>
    <row r="235" spans="2:12" s="46" customFormat="1" ht="19.5" customHeight="1">
      <c r="B235" s="56"/>
      <c r="C235" s="155">
        <f>IF(B235&lt;&gt;"",VLOOKUP(B235,'Tipo Projeto'!$A$3:$B$44,2,0),0)</f>
        <v>0</v>
      </c>
      <c r="D235" s="44"/>
      <c r="E235" s="44"/>
      <c r="F235" s="45"/>
      <c r="G235" s="44"/>
      <c r="H235" s="189"/>
      <c r="I235" s="149">
        <f t="shared" si="6"/>
        <v>0</v>
      </c>
      <c r="J235" s="149">
        <f t="shared" si="7"/>
        <v>0</v>
      </c>
      <c r="K235" s="44"/>
      <c r="L235" s="220"/>
    </row>
    <row r="236" spans="2:12" s="46" customFormat="1" ht="19.5" customHeight="1">
      <c r="B236" s="56"/>
      <c r="C236" s="155">
        <f>IF(B236&lt;&gt;"",VLOOKUP(B236,'Tipo Projeto'!$A$3:$B$44,2,0),0)</f>
        <v>0</v>
      </c>
      <c r="D236" s="44"/>
      <c r="E236" s="44"/>
      <c r="F236" s="45"/>
      <c r="G236" s="44"/>
      <c r="H236" s="189"/>
      <c r="I236" s="149">
        <f t="shared" si="6"/>
        <v>0</v>
      </c>
      <c r="J236" s="149">
        <f t="shared" si="7"/>
        <v>0</v>
      </c>
      <c r="K236" s="44"/>
      <c r="L236" s="220"/>
    </row>
    <row r="237" spans="2:12" s="46" customFormat="1" ht="19.5" customHeight="1">
      <c r="B237" s="56"/>
      <c r="C237" s="155">
        <f>IF(B237&lt;&gt;"",VLOOKUP(B237,'Tipo Projeto'!$A$3:$B$44,2,0),0)</f>
        <v>0</v>
      </c>
      <c r="D237" s="44"/>
      <c r="E237" s="44"/>
      <c r="F237" s="45"/>
      <c r="G237" s="44"/>
      <c r="H237" s="189"/>
      <c r="I237" s="149">
        <f t="shared" si="6"/>
        <v>0</v>
      </c>
      <c r="J237" s="149">
        <f t="shared" si="7"/>
        <v>0</v>
      </c>
      <c r="K237" s="44"/>
      <c r="L237" s="220"/>
    </row>
    <row r="238" spans="2:12" s="46" customFormat="1" ht="19.5" customHeight="1">
      <c r="B238" s="56"/>
      <c r="C238" s="155">
        <f>IF(B238&lt;&gt;"",VLOOKUP(B238,'Tipo Projeto'!$A$3:$B$44,2,0),0)</f>
        <v>0</v>
      </c>
      <c r="D238" s="44"/>
      <c r="E238" s="44"/>
      <c r="F238" s="45"/>
      <c r="G238" s="44"/>
      <c r="H238" s="189"/>
      <c r="I238" s="149">
        <f t="shared" si="6"/>
        <v>0</v>
      </c>
      <c r="J238" s="149">
        <f t="shared" si="7"/>
        <v>0</v>
      </c>
      <c r="K238" s="44"/>
      <c r="L238" s="220"/>
    </row>
    <row r="239" spans="2:12" s="46" customFormat="1" ht="19.5" customHeight="1">
      <c r="B239" s="56"/>
      <c r="C239" s="155">
        <f>IF(B239&lt;&gt;"",VLOOKUP(B239,'Tipo Projeto'!$A$3:$B$44,2,0),0)</f>
        <v>0</v>
      </c>
      <c r="D239" s="44"/>
      <c r="E239" s="44"/>
      <c r="F239" s="45"/>
      <c r="G239" s="44"/>
      <c r="H239" s="189"/>
      <c r="I239" s="149">
        <f t="shared" si="6"/>
        <v>0</v>
      </c>
      <c r="J239" s="149">
        <f t="shared" si="7"/>
        <v>0</v>
      </c>
      <c r="K239" s="44"/>
      <c r="L239" s="220"/>
    </row>
    <row r="240" spans="2:12" s="46" customFormat="1" ht="19.5" customHeight="1">
      <c r="B240" s="56"/>
      <c r="C240" s="155">
        <f>IF(B240&lt;&gt;"",VLOOKUP(B240,'Tipo Projeto'!$A$3:$B$44,2,0),0)</f>
        <v>0</v>
      </c>
      <c r="D240" s="44"/>
      <c r="E240" s="44"/>
      <c r="F240" s="45"/>
      <c r="G240" s="44"/>
      <c r="H240" s="189"/>
      <c r="I240" s="149">
        <f t="shared" si="6"/>
        <v>0</v>
      </c>
      <c r="J240" s="149">
        <f t="shared" si="7"/>
        <v>0</v>
      </c>
      <c r="K240" s="44"/>
      <c r="L240" s="220"/>
    </row>
    <row r="241" spans="2:12" s="46" customFormat="1" ht="19.5" customHeight="1">
      <c r="B241" s="56"/>
      <c r="C241" s="155">
        <f>IF(B241&lt;&gt;"",VLOOKUP(B241,'Tipo Projeto'!$A$3:$B$44,2,0),0)</f>
        <v>0</v>
      </c>
      <c r="D241" s="44"/>
      <c r="E241" s="44"/>
      <c r="F241" s="45"/>
      <c r="G241" s="44"/>
      <c r="H241" s="189"/>
      <c r="I241" s="149">
        <f t="shared" si="6"/>
        <v>0</v>
      </c>
      <c r="J241" s="149">
        <f t="shared" si="7"/>
        <v>0</v>
      </c>
      <c r="K241" s="44"/>
      <c r="L241" s="220"/>
    </row>
    <row r="242" spans="2:12" s="46" customFormat="1" ht="19.5" customHeight="1">
      <c r="B242" s="56"/>
      <c r="C242" s="155">
        <f>IF(B242&lt;&gt;"",VLOOKUP(B242,'Tipo Projeto'!$A$3:$B$44,2,0),0)</f>
        <v>0</v>
      </c>
      <c r="D242" s="44"/>
      <c r="E242" s="44"/>
      <c r="F242" s="45"/>
      <c r="G242" s="44"/>
      <c r="H242" s="189"/>
      <c r="I242" s="149">
        <f t="shared" si="6"/>
        <v>0</v>
      </c>
      <c r="J242" s="149">
        <f t="shared" si="7"/>
        <v>0</v>
      </c>
      <c r="K242" s="44"/>
      <c r="L242" s="220"/>
    </row>
    <row r="243" spans="2:12" s="46" customFormat="1" ht="19.5" customHeight="1">
      <c r="B243" s="56"/>
      <c r="C243" s="155">
        <f>IF(B243&lt;&gt;"",VLOOKUP(B243,'Tipo Projeto'!$A$3:$B$44,2,0),0)</f>
        <v>0</v>
      </c>
      <c r="D243" s="44"/>
      <c r="E243" s="44"/>
      <c r="F243" s="45"/>
      <c r="G243" s="44"/>
      <c r="H243" s="189"/>
      <c r="I243" s="149">
        <f t="shared" si="6"/>
        <v>0</v>
      </c>
      <c r="J243" s="149">
        <f t="shared" si="7"/>
        <v>0</v>
      </c>
      <c r="K243" s="44"/>
      <c r="L243" s="220"/>
    </row>
    <row r="244" spans="2:12" s="46" customFormat="1" ht="19.5" customHeight="1">
      <c r="B244" s="56"/>
      <c r="C244" s="155">
        <f>IF(B244&lt;&gt;"",VLOOKUP(B244,'Tipo Projeto'!$A$3:$B$44,2,0),0)</f>
        <v>0</v>
      </c>
      <c r="D244" s="44"/>
      <c r="E244" s="44"/>
      <c r="F244" s="45"/>
      <c r="G244" s="44"/>
      <c r="H244" s="189"/>
      <c r="I244" s="149">
        <f t="shared" si="6"/>
        <v>0</v>
      </c>
      <c r="J244" s="149">
        <f t="shared" si="7"/>
        <v>0</v>
      </c>
      <c r="K244" s="44"/>
      <c r="L244" s="220"/>
    </row>
    <row r="245" spans="2:12" s="46" customFormat="1" ht="19.5" customHeight="1">
      <c r="B245" s="56"/>
      <c r="C245" s="155">
        <f>IF(B245&lt;&gt;"",VLOOKUP(B245,'Tipo Projeto'!$A$3:$B$44,2,0),0)</f>
        <v>0</v>
      </c>
      <c r="D245" s="44"/>
      <c r="E245" s="44"/>
      <c r="F245" s="45"/>
      <c r="G245" s="44"/>
      <c r="H245" s="189"/>
      <c r="I245" s="149">
        <f t="shared" si="6"/>
        <v>0</v>
      </c>
      <c r="J245" s="149">
        <f t="shared" si="7"/>
        <v>0</v>
      </c>
      <c r="K245" s="44"/>
      <c r="L245" s="220"/>
    </row>
    <row r="246" spans="2:12" s="46" customFormat="1" ht="19.5" customHeight="1">
      <c r="B246" s="56"/>
      <c r="C246" s="155">
        <f>IF(B246&lt;&gt;"",VLOOKUP(B246,'Tipo Projeto'!$A$3:$B$44,2,0),0)</f>
        <v>0</v>
      </c>
      <c r="D246" s="44"/>
      <c r="E246" s="44"/>
      <c r="F246" s="45"/>
      <c r="G246" s="44"/>
      <c r="H246" s="189"/>
      <c r="I246" s="149">
        <f t="shared" si="6"/>
        <v>0</v>
      </c>
      <c r="J246" s="149">
        <f t="shared" si="7"/>
        <v>0</v>
      </c>
      <c r="K246" s="44"/>
      <c r="L246" s="220"/>
    </row>
    <row r="247" spans="2:12" s="46" customFormat="1" ht="19.5" customHeight="1">
      <c r="B247" s="56"/>
      <c r="C247" s="155">
        <f>IF(B247&lt;&gt;"",VLOOKUP(B247,'Tipo Projeto'!$A$3:$B$44,2,0),0)</f>
        <v>0</v>
      </c>
      <c r="D247" s="44"/>
      <c r="E247" s="44"/>
      <c r="F247" s="45"/>
      <c r="G247" s="44"/>
      <c r="H247" s="189"/>
      <c r="I247" s="149">
        <f t="shared" si="6"/>
        <v>0</v>
      </c>
      <c r="J247" s="149">
        <f t="shared" si="7"/>
        <v>0</v>
      </c>
      <c r="K247" s="44"/>
      <c r="L247" s="220"/>
    </row>
    <row r="248" spans="2:12" s="46" customFormat="1" ht="19.5" customHeight="1">
      <c r="B248" s="56"/>
      <c r="C248" s="155">
        <f>IF(B248&lt;&gt;"",VLOOKUP(B248,'Tipo Projeto'!$A$3:$B$44,2,0),0)</f>
        <v>0</v>
      </c>
      <c r="D248" s="44"/>
      <c r="E248" s="44"/>
      <c r="F248" s="45"/>
      <c r="G248" s="44"/>
      <c r="H248" s="189"/>
      <c r="I248" s="149">
        <f t="shared" si="6"/>
        <v>0</v>
      </c>
      <c r="J248" s="149">
        <f t="shared" si="7"/>
        <v>0</v>
      </c>
      <c r="K248" s="44"/>
      <c r="L248" s="220"/>
    </row>
    <row r="249" spans="2:12" s="46" customFormat="1" ht="19.5" customHeight="1">
      <c r="B249" s="56"/>
      <c r="C249" s="155">
        <f>IF(B249&lt;&gt;"",VLOOKUP(B249,'Tipo Projeto'!$A$3:$B$44,2,0),0)</f>
        <v>0</v>
      </c>
      <c r="D249" s="44"/>
      <c r="E249" s="44"/>
      <c r="F249" s="45"/>
      <c r="G249" s="44"/>
      <c r="H249" s="189"/>
      <c r="I249" s="149">
        <f t="shared" si="6"/>
        <v>0</v>
      </c>
      <c r="J249" s="149">
        <f t="shared" si="7"/>
        <v>0</v>
      </c>
      <c r="K249" s="44"/>
      <c r="L249" s="220"/>
    </row>
    <row r="250" spans="2:12" s="46" customFormat="1" ht="19.5" customHeight="1">
      <c r="B250" s="56"/>
      <c r="C250" s="155">
        <f>IF(B250&lt;&gt;"",VLOOKUP(B250,'Tipo Projeto'!$A$3:$B$44,2,0),0)</f>
        <v>0</v>
      </c>
      <c r="D250" s="44"/>
      <c r="E250" s="44"/>
      <c r="F250" s="45"/>
      <c r="G250" s="44"/>
      <c r="H250" s="189"/>
      <c r="I250" s="149">
        <f t="shared" si="6"/>
        <v>0</v>
      </c>
      <c r="J250" s="149">
        <f t="shared" si="7"/>
        <v>0</v>
      </c>
      <c r="K250" s="44"/>
      <c r="L250" s="220"/>
    </row>
    <row r="251" spans="2:12" s="46" customFormat="1" ht="19.5" customHeight="1">
      <c r="B251" s="56"/>
      <c r="C251" s="155">
        <f>IF(B251&lt;&gt;"",VLOOKUP(B251,'Tipo Projeto'!$A$3:$B$44,2,0),0)</f>
        <v>0</v>
      </c>
      <c r="D251" s="44"/>
      <c r="E251" s="44"/>
      <c r="F251" s="45"/>
      <c r="G251" s="44"/>
      <c r="H251" s="189"/>
      <c r="I251" s="149">
        <f t="shared" si="6"/>
        <v>0</v>
      </c>
      <c r="J251" s="149">
        <f t="shared" si="7"/>
        <v>0</v>
      </c>
      <c r="K251" s="44"/>
      <c r="L251" s="220"/>
    </row>
    <row r="252" spans="2:12" s="46" customFormat="1" ht="19.5" customHeight="1">
      <c r="B252" s="56"/>
      <c r="C252" s="155">
        <f>IF(B252&lt;&gt;"",VLOOKUP(B252,'Tipo Projeto'!$A$3:$B$44,2,0),0)</f>
        <v>0</v>
      </c>
      <c r="D252" s="44"/>
      <c r="E252" s="44"/>
      <c r="F252" s="45"/>
      <c r="G252" s="44"/>
      <c r="H252" s="189"/>
      <c r="I252" s="149">
        <f t="shared" si="6"/>
        <v>0</v>
      </c>
      <c r="J252" s="149">
        <f t="shared" si="7"/>
        <v>0</v>
      </c>
      <c r="K252" s="44"/>
      <c r="L252" s="220"/>
    </row>
    <row r="253" spans="2:12" s="46" customFormat="1" ht="19.5" customHeight="1">
      <c r="B253" s="56"/>
      <c r="C253" s="155">
        <f>IF(B253&lt;&gt;"",VLOOKUP(B253,'Tipo Projeto'!$A$3:$B$44,2,0),0)</f>
        <v>0</v>
      </c>
      <c r="D253" s="44"/>
      <c r="E253" s="44"/>
      <c r="F253" s="45"/>
      <c r="G253" s="44"/>
      <c r="H253" s="189"/>
      <c r="I253" s="149">
        <f t="shared" si="6"/>
        <v>0</v>
      </c>
      <c r="J253" s="149">
        <f t="shared" si="7"/>
        <v>0</v>
      </c>
      <c r="K253" s="44"/>
      <c r="L253" s="220"/>
    </row>
    <row r="254" spans="2:12" s="46" customFormat="1" ht="19.5" customHeight="1">
      <c r="B254" s="56"/>
      <c r="C254" s="155">
        <f>IF(B254&lt;&gt;"",VLOOKUP(B254,'Tipo Projeto'!$A$3:$B$44,2,0),0)</f>
        <v>0</v>
      </c>
      <c r="D254" s="44"/>
      <c r="E254" s="44"/>
      <c r="F254" s="45"/>
      <c r="G254" s="44"/>
      <c r="H254" s="189"/>
      <c r="I254" s="149">
        <f t="shared" si="6"/>
        <v>0</v>
      </c>
      <c r="J254" s="149">
        <f t="shared" si="7"/>
        <v>0</v>
      </c>
      <c r="K254" s="44"/>
      <c r="L254" s="220"/>
    </row>
    <row r="255" spans="2:12" s="46" customFormat="1" ht="19.5" customHeight="1">
      <c r="B255" s="56"/>
      <c r="C255" s="155">
        <f>IF(B255&lt;&gt;"",VLOOKUP(B255,'Tipo Projeto'!$A$3:$B$44,2,0),0)</f>
        <v>0</v>
      </c>
      <c r="D255" s="44"/>
      <c r="E255" s="44"/>
      <c r="F255" s="45"/>
      <c r="G255" s="44"/>
      <c r="H255" s="189"/>
      <c r="I255" s="149">
        <f t="shared" si="6"/>
        <v>0</v>
      </c>
      <c r="J255" s="149">
        <f t="shared" si="7"/>
        <v>0</v>
      </c>
      <c r="K255" s="44"/>
      <c r="L255" s="220"/>
    </row>
    <row r="256" spans="2:12" s="46" customFormat="1" ht="19.5" customHeight="1">
      <c r="B256" s="56"/>
      <c r="C256" s="155">
        <f>IF(B256&lt;&gt;"",VLOOKUP(B256,'Tipo Projeto'!$A$3:$B$44,2,0),0)</f>
        <v>0</v>
      </c>
      <c r="D256" s="44"/>
      <c r="E256" s="44"/>
      <c r="F256" s="45"/>
      <c r="G256" s="44"/>
      <c r="H256" s="189"/>
      <c r="I256" s="149">
        <f t="shared" si="6"/>
        <v>0</v>
      </c>
      <c r="J256" s="149">
        <f t="shared" si="7"/>
        <v>0</v>
      </c>
      <c r="K256" s="44"/>
      <c r="L256" s="220"/>
    </row>
    <row r="257" spans="2:12" s="46" customFormat="1" ht="19.5" customHeight="1">
      <c r="B257" s="56"/>
      <c r="C257" s="155">
        <f>IF(B257&lt;&gt;"",VLOOKUP(B257,'Tipo Projeto'!$A$3:$B$44,2,0),0)</f>
        <v>0</v>
      </c>
      <c r="D257" s="44"/>
      <c r="E257" s="44"/>
      <c r="F257" s="45"/>
      <c r="G257" s="44"/>
      <c r="H257" s="189"/>
      <c r="I257" s="149">
        <f t="shared" si="6"/>
        <v>0</v>
      </c>
      <c r="J257" s="149">
        <f t="shared" si="7"/>
        <v>0</v>
      </c>
      <c r="K257" s="44"/>
      <c r="L257" s="220"/>
    </row>
    <row r="258" spans="2:12" s="46" customFormat="1" ht="19.5" customHeight="1">
      <c r="B258" s="56"/>
      <c r="C258" s="155">
        <f>IF(B258&lt;&gt;"",VLOOKUP(B258,'Tipo Projeto'!$A$3:$B$44,2,0),0)</f>
        <v>0</v>
      </c>
      <c r="D258" s="44"/>
      <c r="E258" s="44"/>
      <c r="F258" s="45"/>
      <c r="G258" s="44"/>
      <c r="H258" s="189"/>
      <c r="I258" s="149">
        <f t="shared" si="6"/>
        <v>0</v>
      </c>
      <c r="J258" s="149">
        <f t="shared" si="7"/>
        <v>0</v>
      </c>
      <c r="K258" s="44"/>
      <c r="L258" s="220"/>
    </row>
    <row r="259" spans="2:12" s="46" customFormat="1" ht="19.5" customHeight="1">
      <c r="B259" s="56"/>
      <c r="C259" s="155">
        <f>IF(B259&lt;&gt;"",VLOOKUP(B259,'Tipo Projeto'!$A$3:$B$44,2,0),0)</f>
        <v>0</v>
      </c>
      <c r="D259" s="44"/>
      <c r="E259" s="44"/>
      <c r="F259" s="45"/>
      <c r="G259" s="44"/>
      <c r="H259" s="189"/>
      <c r="I259" s="149">
        <f t="shared" si="6"/>
        <v>0</v>
      </c>
      <c r="J259" s="149">
        <f t="shared" si="7"/>
        <v>0</v>
      </c>
      <c r="K259" s="44"/>
      <c r="L259" s="220"/>
    </row>
    <row r="260" spans="2:12" s="46" customFormat="1" ht="19.5" customHeight="1">
      <c r="B260" s="56"/>
      <c r="C260" s="155">
        <f>IF(B260&lt;&gt;"",VLOOKUP(B260,'Tipo Projeto'!$A$3:$B$44,2,0),0)</f>
        <v>0</v>
      </c>
      <c r="D260" s="44"/>
      <c r="E260" s="44"/>
      <c r="F260" s="45"/>
      <c r="G260" s="44"/>
      <c r="H260" s="189"/>
      <c r="I260" s="149">
        <f t="shared" si="6"/>
        <v>0</v>
      </c>
      <c r="J260" s="149">
        <f t="shared" si="7"/>
        <v>0</v>
      </c>
      <c r="K260" s="44"/>
      <c r="L260" s="220"/>
    </row>
    <row r="261" spans="2:12" s="46" customFormat="1" ht="19.5" customHeight="1">
      <c r="B261" s="56"/>
      <c r="C261" s="155">
        <f>IF(B261&lt;&gt;"",VLOOKUP(B261,'Tipo Projeto'!$A$3:$B$44,2,0),0)</f>
        <v>0</v>
      </c>
      <c r="D261" s="44"/>
      <c r="E261" s="44"/>
      <c r="F261" s="45"/>
      <c r="G261" s="44"/>
      <c r="H261" s="189"/>
      <c r="I261" s="149">
        <f t="shared" si="6"/>
        <v>0</v>
      </c>
      <c r="J261" s="149">
        <f t="shared" si="7"/>
        <v>0</v>
      </c>
      <c r="K261" s="44"/>
      <c r="L261" s="220"/>
    </row>
    <row r="262" spans="2:12" s="46" customFormat="1" ht="19.5" customHeight="1">
      <c r="B262" s="56"/>
      <c r="C262" s="155">
        <f>IF(B262&lt;&gt;"",VLOOKUP(B262,'Tipo Projeto'!$A$3:$B$44,2,0),0)</f>
        <v>0</v>
      </c>
      <c r="D262" s="44"/>
      <c r="E262" s="44"/>
      <c r="F262" s="45"/>
      <c r="G262" s="44"/>
      <c r="H262" s="189"/>
      <c r="I262" s="149">
        <f t="shared" si="6"/>
        <v>0</v>
      </c>
      <c r="J262" s="149">
        <f t="shared" si="7"/>
        <v>0</v>
      </c>
      <c r="K262" s="44"/>
      <c r="L262" s="220"/>
    </row>
    <row r="263" spans="2:12" s="46" customFormat="1" ht="19.5" customHeight="1">
      <c r="B263" s="56"/>
      <c r="C263" s="155">
        <f>IF(B263&lt;&gt;"",VLOOKUP(B263,'Tipo Projeto'!$A$3:$B$44,2,0),0)</f>
        <v>0</v>
      </c>
      <c r="D263" s="44"/>
      <c r="E263" s="44"/>
      <c r="F263" s="45"/>
      <c r="G263" s="44"/>
      <c r="H263" s="189"/>
      <c r="I263" s="149">
        <f t="shared" si="6"/>
        <v>0</v>
      </c>
      <c r="J263" s="149">
        <f t="shared" si="7"/>
        <v>0</v>
      </c>
      <c r="K263" s="44"/>
      <c r="L263" s="220"/>
    </row>
    <row r="264" spans="2:12" s="46" customFormat="1" ht="19.5" customHeight="1">
      <c r="B264" s="56"/>
      <c r="C264" s="155">
        <f>IF(B264&lt;&gt;"",VLOOKUP(B264,'Tipo Projeto'!$A$3:$B$44,2,0),0)</f>
        <v>0</v>
      </c>
      <c r="D264" s="44"/>
      <c r="E264" s="44"/>
      <c r="F264" s="45"/>
      <c r="G264" s="44"/>
      <c r="H264" s="189"/>
      <c r="I264" s="149">
        <f t="shared" si="6"/>
        <v>0</v>
      </c>
      <c r="J264" s="149">
        <f t="shared" si="7"/>
        <v>0</v>
      </c>
      <c r="K264" s="44"/>
      <c r="L264" s="220"/>
    </row>
    <row r="265" spans="2:12" s="46" customFormat="1" ht="19.5" customHeight="1">
      <c r="B265" s="56"/>
      <c r="C265" s="155">
        <f>IF(B265&lt;&gt;"",VLOOKUP(B265,'Tipo Projeto'!$A$3:$B$44,2,0),0)</f>
        <v>0</v>
      </c>
      <c r="D265" s="44"/>
      <c r="E265" s="44"/>
      <c r="F265" s="45"/>
      <c r="G265" s="44"/>
      <c r="H265" s="189"/>
      <c r="I265" s="149">
        <f t="shared" si="6"/>
        <v>0</v>
      </c>
      <c r="J265" s="149">
        <f t="shared" si="7"/>
        <v>0</v>
      </c>
      <c r="K265" s="44"/>
      <c r="L265" s="220"/>
    </row>
    <row r="266" spans="2:12" s="46" customFormat="1" ht="19.5" customHeight="1">
      <c r="B266" s="56"/>
      <c r="C266" s="155">
        <f>IF(B266&lt;&gt;"",VLOOKUP(B266,'Tipo Projeto'!$A$3:$B$44,2,0),0)</f>
        <v>0</v>
      </c>
      <c r="D266" s="44"/>
      <c r="E266" s="44"/>
      <c r="F266" s="45"/>
      <c r="G266" s="44"/>
      <c r="H266" s="189"/>
      <c r="I266" s="149">
        <f t="shared" si="6"/>
        <v>0</v>
      </c>
      <c r="J266" s="149">
        <f t="shared" si="7"/>
        <v>0</v>
      </c>
      <c r="K266" s="44"/>
      <c r="L266" s="220"/>
    </row>
    <row r="267" spans="2:12" s="46" customFormat="1" ht="19.5" customHeight="1">
      <c r="B267" s="56"/>
      <c r="C267" s="155">
        <f>IF(B267&lt;&gt;"",VLOOKUP(B267,'Tipo Projeto'!$A$3:$B$44,2,0),0)</f>
        <v>0</v>
      </c>
      <c r="D267" s="44"/>
      <c r="E267" s="44"/>
      <c r="F267" s="45"/>
      <c r="G267" s="44"/>
      <c r="H267" s="189"/>
      <c r="I267" s="149">
        <f t="shared" ref="I267:I330" si="8">IF(G267="INM",C267*H267,IF(B267&lt;&gt;"Manutenção em interface",IF(B267&lt;&gt;"Desenv., Manutenção e Publicação de Páginas Estáticas",IF(G267="EE",4,IF(G267="CE",4,IF(G267="SE",5,IF(G267="ALI",7,IF(G267="AIE",5,0)))))*1,0),0))</f>
        <v>0</v>
      </c>
      <c r="J267" s="149">
        <f t="shared" ref="J267:J330" si="9">IF(G267="INM",C267*H267,IF(B267&lt;&gt;"Manutenção em interface",IF(B267&lt;&gt;"Desenv., Manutenção e Publicação de Páginas Estáticas",IF(G267="EE",4,IF(G267="CE",4,IF(G267="SE",5,IF(G267="ALI",7,IF(G267="AIE",5,0)))))*C267,C267),C267))</f>
        <v>0</v>
      </c>
      <c r="K267" s="44"/>
      <c r="L267" s="220"/>
    </row>
    <row r="268" spans="2:12" s="46" customFormat="1" ht="19.5" customHeight="1">
      <c r="B268" s="56"/>
      <c r="C268" s="155">
        <f>IF(B268&lt;&gt;"",VLOOKUP(B268,'Tipo Projeto'!$A$3:$B$44,2,0),0)</f>
        <v>0</v>
      </c>
      <c r="D268" s="44"/>
      <c r="E268" s="44"/>
      <c r="F268" s="45"/>
      <c r="G268" s="44"/>
      <c r="H268" s="189"/>
      <c r="I268" s="149">
        <f t="shared" si="8"/>
        <v>0</v>
      </c>
      <c r="J268" s="149">
        <f t="shared" si="9"/>
        <v>0</v>
      </c>
      <c r="K268" s="44"/>
      <c r="L268" s="220"/>
    </row>
    <row r="269" spans="2:12" s="46" customFormat="1" ht="19.5" customHeight="1">
      <c r="B269" s="56"/>
      <c r="C269" s="155">
        <f>IF(B269&lt;&gt;"",VLOOKUP(B269,'Tipo Projeto'!$A$3:$B$44,2,0),0)</f>
        <v>0</v>
      </c>
      <c r="D269" s="44"/>
      <c r="E269" s="44"/>
      <c r="F269" s="45"/>
      <c r="G269" s="44"/>
      <c r="H269" s="189"/>
      <c r="I269" s="149">
        <f t="shared" si="8"/>
        <v>0</v>
      </c>
      <c r="J269" s="149">
        <f t="shared" si="9"/>
        <v>0</v>
      </c>
      <c r="K269" s="44"/>
      <c r="L269" s="220"/>
    </row>
    <row r="270" spans="2:12" s="46" customFormat="1" ht="19.5" customHeight="1">
      <c r="B270" s="56"/>
      <c r="C270" s="155">
        <f>IF(B270&lt;&gt;"",VLOOKUP(B270,'Tipo Projeto'!$A$3:$B$44,2,0),0)</f>
        <v>0</v>
      </c>
      <c r="D270" s="44"/>
      <c r="E270" s="44"/>
      <c r="F270" s="45"/>
      <c r="G270" s="44"/>
      <c r="H270" s="189"/>
      <c r="I270" s="149">
        <f t="shared" si="8"/>
        <v>0</v>
      </c>
      <c r="J270" s="149">
        <f t="shared" si="9"/>
        <v>0</v>
      </c>
      <c r="K270" s="44"/>
      <c r="L270" s="220"/>
    </row>
    <row r="271" spans="2:12" s="46" customFormat="1" ht="19.5" customHeight="1">
      <c r="B271" s="56"/>
      <c r="C271" s="155">
        <f>IF(B271&lt;&gt;"",VLOOKUP(B271,'Tipo Projeto'!$A$3:$B$44,2,0),0)</f>
        <v>0</v>
      </c>
      <c r="D271" s="44"/>
      <c r="E271" s="44"/>
      <c r="F271" s="45"/>
      <c r="G271" s="44"/>
      <c r="H271" s="189"/>
      <c r="I271" s="149">
        <f t="shared" si="8"/>
        <v>0</v>
      </c>
      <c r="J271" s="149">
        <f t="shared" si="9"/>
        <v>0</v>
      </c>
      <c r="K271" s="44"/>
      <c r="L271" s="220"/>
    </row>
    <row r="272" spans="2:12" s="46" customFormat="1" ht="19.5" customHeight="1">
      <c r="B272" s="56"/>
      <c r="C272" s="155">
        <f>IF(B272&lt;&gt;"",VLOOKUP(B272,'Tipo Projeto'!$A$3:$B$44,2,0),0)</f>
        <v>0</v>
      </c>
      <c r="D272" s="44"/>
      <c r="E272" s="44"/>
      <c r="F272" s="45"/>
      <c r="G272" s="44"/>
      <c r="H272" s="189"/>
      <c r="I272" s="149">
        <f t="shared" si="8"/>
        <v>0</v>
      </c>
      <c r="J272" s="149">
        <f t="shared" si="9"/>
        <v>0</v>
      </c>
      <c r="K272" s="44"/>
      <c r="L272" s="220"/>
    </row>
    <row r="273" spans="2:12" s="46" customFormat="1" ht="19.5" customHeight="1">
      <c r="B273" s="56"/>
      <c r="C273" s="155">
        <f>IF(B273&lt;&gt;"",VLOOKUP(B273,'Tipo Projeto'!$A$3:$B$44,2,0),0)</f>
        <v>0</v>
      </c>
      <c r="D273" s="44"/>
      <c r="E273" s="44"/>
      <c r="F273" s="45"/>
      <c r="G273" s="44"/>
      <c r="H273" s="189"/>
      <c r="I273" s="149">
        <f t="shared" si="8"/>
        <v>0</v>
      </c>
      <c r="J273" s="149">
        <f t="shared" si="9"/>
        <v>0</v>
      </c>
      <c r="K273" s="44"/>
      <c r="L273" s="220"/>
    </row>
    <row r="274" spans="2:12" s="46" customFormat="1" ht="19.5" customHeight="1">
      <c r="B274" s="56"/>
      <c r="C274" s="155">
        <f>IF(B274&lt;&gt;"",VLOOKUP(B274,'Tipo Projeto'!$A$3:$B$44,2,0),0)</f>
        <v>0</v>
      </c>
      <c r="D274" s="44"/>
      <c r="E274" s="44"/>
      <c r="F274" s="45"/>
      <c r="G274" s="44"/>
      <c r="H274" s="189"/>
      <c r="I274" s="149">
        <f t="shared" si="8"/>
        <v>0</v>
      </c>
      <c r="J274" s="149">
        <f t="shared" si="9"/>
        <v>0</v>
      </c>
      <c r="K274" s="44"/>
      <c r="L274" s="220"/>
    </row>
    <row r="275" spans="2:12" s="46" customFormat="1" ht="19.5" customHeight="1">
      <c r="B275" s="56"/>
      <c r="C275" s="155">
        <f>IF(B275&lt;&gt;"",VLOOKUP(B275,'Tipo Projeto'!$A$3:$B$44,2,0),0)</f>
        <v>0</v>
      </c>
      <c r="D275" s="44"/>
      <c r="E275" s="44"/>
      <c r="F275" s="45"/>
      <c r="G275" s="44"/>
      <c r="H275" s="189"/>
      <c r="I275" s="149">
        <f t="shared" si="8"/>
        <v>0</v>
      </c>
      <c r="J275" s="149">
        <f t="shared" si="9"/>
        <v>0</v>
      </c>
      <c r="K275" s="44"/>
      <c r="L275" s="220"/>
    </row>
    <row r="276" spans="2:12" s="46" customFormat="1" ht="19.5" customHeight="1">
      <c r="B276" s="56"/>
      <c r="C276" s="155">
        <f>IF(B276&lt;&gt;"",VLOOKUP(B276,'Tipo Projeto'!$A$3:$B$44,2,0),0)</f>
        <v>0</v>
      </c>
      <c r="D276" s="44"/>
      <c r="E276" s="44"/>
      <c r="F276" s="45"/>
      <c r="G276" s="44"/>
      <c r="H276" s="189"/>
      <c r="I276" s="149">
        <f t="shared" si="8"/>
        <v>0</v>
      </c>
      <c r="J276" s="149">
        <f t="shared" si="9"/>
        <v>0</v>
      </c>
      <c r="K276" s="44"/>
      <c r="L276" s="220"/>
    </row>
    <row r="277" spans="2:12" s="46" customFormat="1" ht="19.5" customHeight="1">
      <c r="B277" s="56"/>
      <c r="C277" s="155">
        <f>IF(B277&lt;&gt;"",VLOOKUP(B277,'Tipo Projeto'!$A$3:$B$44,2,0),0)</f>
        <v>0</v>
      </c>
      <c r="D277" s="44"/>
      <c r="E277" s="44"/>
      <c r="F277" s="45"/>
      <c r="G277" s="44"/>
      <c r="H277" s="189"/>
      <c r="I277" s="149">
        <f t="shared" si="8"/>
        <v>0</v>
      </c>
      <c r="J277" s="149">
        <f t="shared" si="9"/>
        <v>0</v>
      </c>
      <c r="K277" s="44"/>
      <c r="L277" s="220"/>
    </row>
    <row r="278" spans="2:12" s="46" customFormat="1" ht="19.5" customHeight="1">
      <c r="B278" s="56"/>
      <c r="C278" s="155">
        <f>IF(B278&lt;&gt;"",VLOOKUP(B278,'Tipo Projeto'!$A$3:$B$44,2,0),0)</f>
        <v>0</v>
      </c>
      <c r="D278" s="44"/>
      <c r="E278" s="44"/>
      <c r="F278" s="45"/>
      <c r="G278" s="44"/>
      <c r="H278" s="189"/>
      <c r="I278" s="149">
        <f t="shared" si="8"/>
        <v>0</v>
      </c>
      <c r="J278" s="149">
        <f t="shared" si="9"/>
        <v>0</v>
      </c>
      <c r="K278" s="44"/>
      <c r="L278" s="220"/>
    </row>
    <row r="279" spans="2:12" s="46" customFormat="1" ht="19.5" customHeight="1">
      <c r="B279" s="56"/>
      <c r="C279" s="155">
        <f>IF(B279&lt;&gt;"",VLOOKUP(B279,'Tipo Projeto'!$A$3:$B$44,2,0),0)</f>
        <v>0</v>
      </c>
      <c r="D279" s="44"/>
      <c r="E279" s="44"/>
      <c r="F279" s="45"/>
      <c r="G279" s="44"/>
      <c r="H279" s="189"/>
      <c r="I279" s="149">
        <f t="shared" si="8"/>
        <v>0</v>
      </c>
      <c r="J279" s="149">
        <f t="shared" si="9"/>
        <v>0</v>
      </c>
      <c r="K279" s="44"/>
      <c r="L279" s="220"/>
    </row>
    <row r="280" spans="2:12" s="46" customFormat="1" ht="19.5" customHeight="1">
      <c r="B280" s="56"/>
      <c r="C280" s="155">
        <f>IF(B280&lt;&gt;"",VLOOKUP(B280,'Tipo Projeto'!$A$3:$B$44,2,0),0)</f>
        <v>0</v>
      </c>
      <c r="D280" s="44"/>
      <c r="E280" s="44"/>
      <c r="F280" s="45"/>
      <c r="G280" s="44"/>
      <c r="H280" s="189"/>
      <c r="I280" s="149">
        <f t="shared" si="8"/>
        <v>0</v>
      </c>
      <c r="J280" s="149">
        <f t="shared" si="9"/>
        <v>0</v>
      </c>
      <c r="K280" s="44"/>
      <c r="L280" s="220"/>
    </row>
    <row r="281" spans="2:12" s="46" customFormat="1" ht="19.5" customHeight="1">
      <c r="B281" s="56"/>
      <c r="C281" s="155">
        <f>IF(B281&lt;&gt;"",VLOOKUP(B281,'Tipo Projeto'!$A$3:$B$44,2,0),0)</f>
        <v>0</v>
      </c>
      <c r="D281" s="44"/>
      <c r="E281" s="44"/>
      <c r="F281" s="45"/>
      <c r="G281" s="44"/>
      <c r="H281" s="189"/>
      <c r="I281" s="149">
        <f t="shared" si="8"/>
        <v>0</v>
      </c>
      <c r="J281" s="149">
        <f t="shared" si="9"/>
        <v>0</v>
      </c>
      <c r="K281" s="44"/>
      <c r="L281" s="220"/>
    </row>
    <row r="282" spans="2:12" s="46" customFormat="1" ht="19.5" customHeight="1">
      <c r="B282" s="56"/>
      <c r="C282" s="155">
        <f>IF(B282&lt;&gt;"",VLOOKUP(B282,'Tipo Projeto'!$A$3:$B$44,2,0),0)</f>
        <v>0</v>
      </c>
      <c r="D282" s="44"/>
      <c r="E282" s="44"/>
      <c r="F282" s="45"/>
      <c r="G282" s="44"/>
      <c r="H282" s="189"/>
      <c r="I282" s="149">
        <f t="shared" si="8"/>
        <v>0</v>
      </c>
      <c r="J282" s="149">
        <f t="shared" si="9"/>
        <v>0</v>
      </c>
      <c r="K282" s="44"/>
      <c r="L282" s="220"/>
    </row>
    <row r="283" spans="2:12" s="46" customFormat="1" ht="19.5" customHeight="1">
      <c r="B283" s="56"/>
      <c r="C283" s="155">
        <f>IF(B283&lt;&gt;"",VLOOKUP(B283,'Tipo Projeto'!$A$3:$B$44,2,0),0)</f>
        <v>0</v>
      </c>
      <c r="D283" s="44"/>
      <c r="E283" s="44"/>
      <c r="F283" s="45"/>
      <c r="G283" s="44"/>
      <c r="H283" s="189"/>
      <c r="I283" s="149">
        <f t="shared" si="8"/>
        <v>0</v>
      </c>
      <c r="J283" s="149">
        <f t="shared" si="9"/>
        <v>0</v>
      </c>
      <c r="K283" s="44"/>
      <c r="L283" s="220"/>
    </row>
    <row r="284" spans="2:12" s="46" customFormat="1" ht="19.5" customHeight="1">
      <c r="B284" s="56"/>
      <c r="C284" s="155">
        <f>IF(B284&lt;&gt;"",VLOOKUP(B284,'Tipo Projeto'!$A$3:$B$44,2,0),0)</f>
        <v>0</v>
      </c>
      <c r="D284" s="44"/>
      <c r="E284" s="44"/>
      <c r="F284" s="45"/>
      <c r="G284" s="44"/>
      <c r="H284" s="189"/>
      <c r="I284" s="149">
        <f t="shared" si="8"/>
        <v>0</v>
      </c>
      <c r="J284" s="149">
        <f t="shared" si="9"/>
        <v>0</v>
      </c>
      <c r="K284" s="44"/>
      <c r="L284" s="220"/>
    </row>
    <row r="285" spans="2:12" s="46" customFormat="1" ht="19.5" customHeight="1">
      <c r="B285" s="56"/>
      <c r="C285" s="155">
        <f>IF(B285&lt;&gt;"",VLOOKUP(B285,'Tipo Projeto'!$A$3:$B$44,2,0),0)</f>
        <v>0</v>
      </c>
      <c r="D285" s="44"/>
      <c r="E285" s="44"/>
      <c r="F285" s="45"/>
      <c r="G285" s="44"/>
      <c r="H285" s="189"/>
      <c r="I285" s="149">
        <f t="shared" si="8"/>
        <v>0</v>
      </c>
      <c r="J285" s="149">
        <f t="shared" si="9"/>
        <v>0</v>
      </c>
      <c r="K285" s="44"/>
      <c r="L285" s="220"/>
    </row>
    <row r="286" spans="2:12" s="46" customFormat="1" ht="19.5" customHeight="1">
      <c r="B286" s="56"/>
      <c r="C286" s="155">
        <f>IF(B286&lt;&gt;"",VLOOKUP(B286,'Tipo Projeto'!$A$3:$B$44,2,0),0)</f>
        <v>0</v>
      </c>
      <c r="D286" s="44"/>
      <c r="E286" s="44"/>
      <c r="F286" s="45"/>
      <c r="G286" s="44"/>
      <c r="H286" s="189"/>
      <c r="I286" s="149">
        <f t="shared" si="8"/>
        <v>0</v>
      </c>
      <c r="J286" s="149">
        <f t="shared" si="9"/>
        <v>0</v>
      </c>
      <c r="K286" s="44"/>
      <c r="L286" s="220"/>
    </row>
    <row r="287" spans="2:12" s="46" customFormat="1" ht="19.5" customHeight="1">
      <c r="B287" s="56"/>
      <c r="C287" s="155">
        <f>IF(B287&lt;&gt;"",VLOOKUP(B287,'Tipo Projeto'!$A$3:$B$44,2,0),0)</f>
        <v>0</v>
      </c>
      <c r="D287" s="44"/>
      <c r="E287" s="44"/>
      <c r="F287" s="45"/>
      <c r="G287" s="44"/>
      <c r="H287" s="189"/>
      <c r="I287" s="149">
        <f t="shared" si="8"/>
        <v>0</v>
      </c>
      <c r="J287" s="149">
        <f t="shared" si="9"/>
        <v>0</v>
      </c>
      <c r="K287" s="44"/>
      <c r="L287" s="220"/>
    </row>
    <row r="288" spans="2:12" s="46" customFormat="1" ht="19.5" customHeight="1">
      <c r="B288" s="56"/>
      <c r="C288" s="155">
        <f>IF(B288&lt;&gt;"",VLOOKUP(B288,'Tipo Projeto'!$A$3:$B$44,2,0),0)</f>
        <v>0</v>
      </c>
      <c r="D288" s="44"/>
      <c r="E288" s="44"/>
      <c r="F288" s="45"/>
      <c r="G288" s="44"/>
      <c r="H288" s="189"/>
      <c r="I288" s="149">
        <f t="shared" si="8"/>
        <v>0</v>
      </c>
      <c r="J288" s="149">
        <f t="shared" si="9"/>
        <v>0</v>
      </c>
      <c r="K288" s="44"/>
      <c r="L288" s="220"/>
    </row>
    <row r="289" spans="2:12" s="46" customFormat="1" ht="19.5" customHeight="1">
      <c r="B289" s="56"/>
      <c r="C289" s="155">
        <f>IF(B289&lt;&gt;"",VLOOKUP(B289,'Tipo Projeto'!$A$3:$B$44,2,0),0)</f>
        <v>0</v>
      </c>
      <c r="D289" s="44"/>
      <c r="E289" s="44"/>
      <c r="F289" s="45"/>
      <c r="G289" s="44"/>
      <c r="H289" s="189"/>
      <c r="I289" s="149">
        <f t="shared" si="8"/>
        <v>0</v>
      </c>
      <c r="J289" s="149">
        <f t="shared" si="9"/>
        <v>0</v>
      </c>
      <c r="K289" s="44"/>
      <c r="L289" s="220"/>
    </row>
    <row r="290" spans="2:12" s="46" customFormat="1" ht="19.5" customHeight="1">
      <c r="B290" s="56"/>
      <c r="C290" s="155">
        <f>IF(B290&lt;&gt;"",VLOOKUP(B290,'Tipo Projeto'!$A$3:$B$44,2,0),0)</f>
        <v>0</v>
      </c>
      <c r="D290" s="44"/>
      <c r="E290" s="44"/>
      <c r="F290" s="45"/>
      <c r="G290" s="44"/>
      <c r="H290" s="189"/>
      <c r="I290" s="149">
        <f t="shared" si="8"/>
        <v>0</v>
      </c>
      <c r="J290" s="149">
        <f t="shared" si="9"/>
        <v>0</v>
      </c>
      <c r="K290" s="44"/>
      <c r="L290" s="220"/>
    </row>
    <row r="291" spans="2:12" s="46" customFormat="1" ht="19.5" customHeight="1">
      <c r="B291" s="56"/>
      <c r="C291" s="155">
        <f>IF(B291&lt;&gt;"",VLOOKUP(B291,'Tipo Projeto'!$A$3:$B$44,2,0),0)</f>
        <v>0</v>
      </c>
      <c r="D291" s="44"/>
      <c r="E291" s="44"/>
      <c r="F291" s="45"/>
      <c r="G291" s="44"/>
      <c r="H291" s="189"/>
      <c r="I291" s="149">
        <f t="shared" si="8"/>
        <v>0</v>
      </c>
      <c r="J291" s="149">
        <f t="shared" si="9"/>
        <v>0</v>
      </c>
      <c r="K291" s="44"/>
      <c r="L291" s="220"/>
    </row>
    <row r="292" spans="2:12" s="46" customFormat="1" ht="19.5" customHeight="1">
      <c r="B292" s="56"/>
      <c r="C292" s="155">
        <f>IF(B292&lt;&gt;"",VLOOKUP(B292,'Tipo Projeto'!$A$3:$B$44,2,0),0)</f>
        <v>0</v>
      </c>
      <c r="D292" s="44"/>
      <c r="E292" s="44"/>
      <c r="F292" s="45"/>
      <c r="G292" s="44"/>
      <c r="H292" s="189"/>
      <c r="I292" s="149">
        <f t="shared" si="8"/>
        <v>0</v>
      </c>
      <c r="J292" s="149">
        <f t="shared" si="9"/>
        <v>0</v>
      </c>
      <c r="K292" s="44"/>
      <c r="L292" s="220"/>
    </row>
    <row r="293" spans="2:12" s="46" customFormat="1" ht="19.5" customHeight="1">
      <c r="B293" s="56"/>
      <c r="C293" s="155">
        <f>IF(B293&lt;&gt;"",VLOOKUP(B293,'Tipo Projeto'!$A$3:$B$44,2,0),0)</f>
        <v>0</v>
      </c>
      <c r="D293" s="44"/>
      <c r="E293" s="44"/>
      <c r="F293" s="45"/>
      <c r="G293" s="44"/>
      <c r="H293" s="189"/>
      <c r="I293" s="149">
        <f t="shared" si="8"/>
        <v>0</v>
      </c>
      <c r="J293" s="149">
        <f t="shared" si="9"/>
        <v>0</v>
      </c>
      <c r="K293" s="44"/>
      <c r="L293" s="220"/>
    </row>
    <row r="294" spans="2:12" s="46" customFormat="1" ht="19.5" customHeight="1">
      <c r="B294" s="56"/>
      <c r="C294" s="155">
        <f>IF(B294&lt;&gt;"",VLOOKUP(B294,'Tipo Projeto'!$A$3:$B$44,2,0),0)</f>
        <v>0</v>
      </c>
      <c r="D294" s="44"/>
      <c r="E294" s="44"/>
      <c r="F294" s="45"/>
      <c r="G294" s="44"/>
      <c r="H294" s="189"/>
      <c r="I294" s="149">
        <f t="shared" si="8"/>
        <v>0</v>
      </c>
      <c r="J294" s="149">
        <f t="shared" si="9"/>
        <v>0</v>
      </c>
      <c r="K294" s="44"/>
      <c r="L294" s="220"/>
    </row>
    <row r="295" spans="2:12" s="46" customFormat="1" ht="19.5" customHeight="1">
      <c r="B295" s="56"/>
      <c r="C295" s="155">
        <f>IF(B295&lt;&gt;"",VLOOKUP(B295,'Tipo Projeto'!$A$3:$B$44,2,0),0)</f>
        <v>0</v>
      </c>
      <c r="D295" s="44"/>
      <c r="E295" s="44"/>
      <c r="F295" s="45"/>
      <c r="G295" s="44"/>
      <c r="H295" s="189"/>
      <c r="I295" s="149">
        <f t="shared" si="8"/>
        <v>0</v>
      </c>
      <c r="J295" s="149">
        <f t="shared" si="9"/>
        <v>0</v>
      </c>
      <c r="K295" s="44"/>
      <c r="L295" s="220"/>
    </row>
    <row r="296" spans="2:12" s="46" customFormat="1" ht="19.5" customHeight="1">
      <c r="B296" s="56"/>
      <c r="C296" s="155">
        <f>IF(B296&lt;&gt;"",VLOOKUP(B296,'Tipo Projeto'!$A$3:$B$44,2,0),0)</f>
        <v>0</v>
      </c>
      <c r="D296" s="44"/>
      <c r="E296" s="44"/>
      <c r="F296" s="45"/>
      <c r="G296" s="44"/>
      <c r="H296" s="189"/>
      <c r="I296" s="149">
        <f t="shared" si="8"/>
        <v>0</v>
      </c>
      <c r="J296" s="149">
        <f t="shared" si="9"/>
        <v>0</v>
      </c>
      <c r="K296" s="44"/>
      <c r="L296" s="220"/>
    </row>
    <row r="297" spans="2:12" s="46" customFormat="1" ht="19.5" customHeight="1">
      <c r="B297" s="56"/>
      <c r="C297" s="155">
        <f>IF(B297&lt;&gt;"",VLOOKUP(B297,'Tipo Projeto'!$A$3:$B$44,2,0),0)</f>
        <v>0</v>
      </c>
      <c r="D297" s="44"/>
      <c r="E297" s="44"/>
      <c r="F297" s="45"/>
      <c r="G297" s="44"/>
      <c r="H297" s="189"/>
      <c r="I297" s="149">
        <f t="shared" si="8"/>
        <v>0</v>
      </c>
      <c r="J297" s="149">
        <f t="shared" si="9"/>
        <v>0</v>
      </c>
      <c r="K297" s="44"/>
      <c r="L297" s="220"/>
    </row>
    <row r="298" spans="2:12" s="46" customFormat="1" ht="19.5" customHeight="1">
      <c r="B298" s="56"/>
      <c r="C298" s="155">
        <f>IF(B298&lt;&gt;"",VLOOKUP(B298,'Tipo Projeto'!$A$3:$B$44,2,0),0)</f>
        <v>0</v>
      </c>
      <c r="D298" s="44"/>
      <c r="E298" s="44"/>
      <c r="F298" s="45"/>
      <c r="G298" s="44"/>
      <c r="H298" s="189"/>
      <c r="I298" s="149">
        <f t="shared" si="8"/>
        <v>0</v>
      </c>
      <c r="J298" s="149">
        <f t="shared" si="9"/>
        <v>0</v>
      </c>
      <c r="K298" s="44"/>
      <c r="L298" s="220"/>
    </row>
    <row r="299" spans="2:12" s="46" customFormat="1" ht="19.5" customHeight="1">
      <c r="B299" s="56"/>
      <c r="C299" s="155">
        <f>IF(B299&lt;&gt;"",VLOOKUP(B299,'Tipo Projeto'!$A$3:$B$44,2,0),0)</f>
        <v>0</v>
      </c>
      <c r="D299" s="44"/>
      <c r="E299" s="44"/>
      <c r="F299" s="45"/>
      <c r="G299" s="44"/>
      <c r="H299" s="189"/>
      <c r="I299" s="149">
        <f t="shared" si="8"/>
        <v>0</v>
      </c>
      <c r="J299" s="149">
        <f t="shared" si="9"/>
        <v>0</v>
      </c>
      <c r="K299" s="44"/>
      <c r="L299" s="220"/>
    </row>
    <row r="300" spans="2:12" s="46" customFormat="1" ht="19.5" customHeight="1">
      <c r="B300" s="56"/>
      <c r="C300" s="155">
        <f>IF(B300&lt;&gt;"",VLOOKUP(B300,'Tipo Projeto'!$A$3:$B$44,2,0),0)</f>
        <v>0</v>
      </c>
      <c r="D300" s="44"/>
      <c r="E300" s="44"/>
      <c r="F300" s="45"/>
      <c r="G300" s="44"/>
      <c r="H300" s="189"/>
      <c r="I300" s="149">
        <f t="shared" si="8"/>
        <v>0</v>
      </c>
      <c r="J300" s="149">
        <f t="shared" si="9"/>
        <v>0</v>
      </c>
      <c r="K300" s="44"/>
      <c r="L300" s="220"/>
    </row>
    <row r="301" spans="2:12" s="46" customFormat="1" ht="19.5" customHeight="1">
      <c r="B301" s="56"/>
      <c r="C301" s="155">
        <f>IF(B301&lt;&gt;"",VLOOKUP(B301,'Tipo Projeto'!$A$3:$B$44,2,0),0)</f>
        <v>0</v>
      </c>
      <c r="D301" s="44"/>
      <c r="E301" s="44"/>
      <c r="F301" s="45"/>
      <c r="G301" s="44"/>
      <c r="H301" s="189"/>
      <c r="I301" s="149">
        <f t="shared" si="8"/>
        <v>0</v>
      </c>
      <c r="J301" s="149">
        <f t="shared" si="9"/>
        <v>0</v>
      </c>
      <c r="K301" s="44"/>
      <c r="L301" s="220"/>
    </row>
    <row r="302" spans="2:12" s="46" customFormat="1" ht="19.5" customHeight="1">
      <c r="B302" s="56"/>
      <c r="C302" s="155">
        <f>IF(B302&lt;&gt;"",VLOOKUP(B302,'Tipo Projeto'!$A$3:$B$44,2,0),0)</f>
        <v>0</v>
      </c>
      <c r="D302" s="44"/>
      <c r="E302" s="44"/>
      <c r="F302" s="45"/>
      <c r="G302" s="44"/>
      <c r="H302" s="189"/>
      <c r="I302" s="149">
        <f t="shared" si="8"/>
        <v>0</v>
      </c>
      <c r="J302" s="149">
        <f t="shared" si="9"/>
        <v>0</v>
      </c>
      <c r="K302" s="44"/>
      <c r="L302" s="220"/>
    </row>
    <row r="303" spans="2:12" s="46" customFormat="1" ht="19.5" customHeight="1">
      <c r="B303" s="56"/>
      <c r="C303" s="155">
        <f>IF(B303&lt;&gt;"",VLOOKUP(B303,'Tipo Projeto'!$A$3:$B$44,2,0),0)</f>
        <v>0</v>
      </c>
      <c r="D303" s="44"/>
      <c r="E303" s="44"/>
      <c r="F303" s="45"/>
      <c r="G303" s="44"/>
      <c r="H303" s="189"/>
      <c r="I303" s="149">
        <f t="shared" si="8"/>
        <v>0</v>
      </c>
      <c r="J303" s="149">
        <f t="shared" si="9"/>
        <v>0</v>
      </c>
      <c r="K303" s="44"/>
      <c r="L303" s="220"/>
    </row>
    <row r="304" spans="2:12" s="46" customFormat="1" ht="19.5" customHeight="1">
      <c r="B304" s="56"/>
      <c r="C304" s="155">
        <f>IF(B304&lt;&gt;"",VLOOKUP(B304,'Tipo Projeto'!$A$3:$B$44,2,0),0)</f>
        <v>0</v>
      </c>
      <c r="D304" s="44"/>
      <c r="E304" s="44"/>
      <c r="F304" s="45"/>
      <c r="G304" s="44"/>
      <c r="H304" s="189"/>
      <c r="I304" s="149">
        <f t="shared" si="8"/>
        <v>0</v>
      </c>
      <c r="J304" s="149">
        <f t="shared" si="9"/>
        <v>0</v>
      </c>
      <c r="K304" s="44"/>
      <c r="L304" s="220"/>
    </row>
    <row r="305" spans="2:12" s="46" customFormat="1" ht="19.5" customHeight="1">
      <c r="B305" s="56"/>
      <c r="C305" s="155">
        <f>IF(B305&lt;&gt;"",VLOOKUP(B305,'Tipo Projeto'!$A$3:$B$44,2,0),0)</f>
        <v>0</v>
      </c>
      <c r="D305" s="44"/>
      <c r="E305" s="44"/>
      <c r="F305" s="45"/>
      <c r="G305" s="44"/>
      <c r="H305" s="189"/>
      <c r="I305" s="149">
        <f t="shared" si="8"/>
        <v>0</v>
      </c>
      <c r="J305" s="149">
        <f t="shared" si="9"/>
        <v>0</v>
      </c>
      <c r="K305" s="44"/>
      <c r="L305" s="220"/>
    </row>
    <row r="306" spans="2:12" s="46" customFormat="1" ht="19.5" customHeight="1">
      <c r="B306" s="56"/>
      <c r="C306" s="155">
        <f>IF(B306&lt;&gt;"",VLOOKUP(B306,'Tipo Projeto'!$A$3:$B$44,2,0),0)</f>
        <v>0</v>
      </c>
      <c r="D306" s="44"/>
      <c r="E306" s="44"/>
      <c r="F306" s="45"/>
      <c r="G306" s="44"/>
      <c r="H306" s="189"/>
      <c r="I306" s="149">
        <f t="shared" si="8"/>
        <v>0</v>
      </c>
      <c r="J306" s="149">
        <f t="shared" si="9"/>
        <v>0</v>
      </c>
      <c r="K306" s="44"/>
      <c r="L306" s="220"/>
    </row>
    <row r="307" spans="2:12" s="46" customFormat="1" ht="19.5" customHeight="1">
      <c r="B307" s="56"/>
      <c r="C307" s="155">
        <f>IF(B307&lt;&gt;"",VLOOKUP(B307,'Tipo Projeto'!$A$3:$B$44,2,0),0)</f>
        <v>0</v>
      </c>
      <c r="D307" s="44"/>
      <c r="E307" s="44"/>
      <c r="F307" s="45"/>
      <c r="G307" s="44"/>
      <c r="H307" s="189"/>
      <c r="I307" s="149">
        <f t="shared" si="8"/>
        <v>0</v>
      </c>
      <c r="J307" s="149">
        <f t="shared" si="9"/>
        <v>0</v>
      </c>
      <c r="K307" s="44"/>
      <c r="L307" s="220"/>
    </row>
    <row r="308" spans="2:12" s="46" customFormat="1" ht="19.5" customHeight="1">
      <c r="B308" s="56"/>
      <c r="C308" s="155">
        <f>IF(B308&lt;&gt;"",VLOOKUP(B308,'Tipo Projeto'!$A$3:$B$44,2,0),0)</f>
        <v>0</v>
      </c>
      <c r="D308" s="44"/>
      <c r="E308" s="44"/>
      <c r="F308" s="45"/>
      <c r="G308" s="44"/>
      <c r="H308" s="189"/>
      <c r="I308" s="149">
        <f t="shared" si="8"/>
        <v>0</v>
      </c>
      <c r="J308" s="149">
        <f t="shared" si="9"/>
        <v>0</v>
      </c>
      <c r="K308" s="44"/>
      <c r="L308" s="220"/>
    </row>
    <row r="309" spans="2:12" s="46" customFormat="1" ht="19.5" customHeight="1">
      <c r="B309" s="56"/>
      <c r="C309" s="155">
        <f>IF(B309&lt;&gt;"",VLOOKUP(B309,'Tipo Projeto'!$A$3:$B$44,2,0),0)</f>
        <v>0</v>
      </c>
      <c r="D309" s="44"/>
      <c r="E309" s="44"/>
      <c r="F309" s="45"/>
      <c r="G309" s="44"/>
      <c r="H309" s="189"/>
      <c r="I309" s="149">
        <f t="shared" si="8"/>
        <v>0</v>
      </c>
      <c r="J309" s="149">
        <f t="shared" si="9"/>
        <v>0</v>
      </c>
      <c r="K309" s="44"/>
      <c r="L309" s="220"/>
    </row>
    <row r="310" spans="2:12" s="46" customFormat="1" ht="19.5" customHeight="1">
      <c r="B310" s="56"/>
      <c r="C310" s="155">
        <f>IF(B310&lt;&gt;"",VLOOKUP(B310,'Tipo Projeto'!$A$3:$B$44,2,0),0)</f>
        <v>0</v>
      </c>
      <c r="D310" s="44"/>
      <c r="E310" s="44"/>
      <c r="F310" s="45"/>
      <c r="G310" s="44"/>
      <c r="H310" s="189"/>
      <c r="I310" s="149">
        <f t="shared" si="8"/>
        <v>0</v>
      </c>
      <c r="J310" s="149">
        <f t="shared" si="9"/>
        <v>0</v>
      </c>
      <c r="K310" s="44"/>
      <c r="L310" s="220"/>
    </row>
    <row r="311" spans="2:12" s="46" customFormat="1" ht="19.5" customHeight="1">
      <c r="B311" s="56"/>
      <c r="C311" s="155">
        <f>IF(B311&lt;&gt;"",VLOOKUP(B311,'Tipo Projeto'!$A$3:$B$44,2,0),0)</f>
        <v>0</v>
      </c>
      <c r="D311" s="44"/>
      <c r="E311" s="44"/>
      <c r="F311" s="45"/>
      <c r="G311" s="44"/>
      <c r="H311" s="189"/>
      <c r="I311" s="149">
        <f t="shared" si="8"/>
        <v>0</v>
      </c>
      <c r="J311" s="149">
        <f t="shared" si="9"/>
        <v>0</v>
      </c>
      <c r="K311" s="44"/>
      <c r="L311" s="220"/>
    </row>
    <row r="312" spans="2:12" s="46" customFormat="1" ht="19.5" customHeight="1">
      <c r="B312" s="56"/>
      <c r="C312" s="155">
        <f>IF(B312&lt;&gt;"",VLOOKUP(B312,'Tipo Projeto'!$A$3:$B$44,2,0),0)</f>
        <v>0</v>
      </c>
      <c r="D312" s="44"/>
      <c r="E312" s="44"/>
      <c r="F312" s="45"/>
      <c r="G312" s="44"/>
      <c r="H312" s="189"/>
      <c r="I312" s="149">
        <f t="shared" si="8"/>
        <v>0</v>
      </c>
      <c r="J312" s="149">
        <f t="shared" si="9"/>
        <v>0</v>
      </c>
      <c r="K312" s="44"/>
      <c r="L312" s="220"/>
    </row>
    <row r="313" spans="2:12" s="46" customFormat="1" ht="19.5" customHeight="1">
      <c r="B313" s="56"/>
      <c r="C313" s="155">
        <f>IF(B313&lt;&gt;"",VLOOKUP(B313,'Tipo Projeto'!$A$3:$B$44,2,0),0)</f>
        <v>0</v>
      </c>
      <c r="D313" s="44"/>
      <c r="E313" s="44"/>
      <c r="F313" s="45"/>
      <c r="G313" s="44"/>
      <c r="H313" s="189"/>
      <c r="I313" s="149">
        <f t="shared" si="8"/>
        <v>0</v>
      </c>
      <c r="J313" s="149">
        <f t="shared" si="9"/>
        <v>0</v>
      </c>
      <c r="K313" s="44"/>
      <c r="L313" s="220"/>
    </row>
    <row r="314" spans="2:12" s="46" customFormat="1" ht="19.5" customHeight="1">
      <c r="B314" s="56"/>
      <c r="C314" s="155">
        <f>IF(B314&lt;&gt;"",VLOOKUP(B314,'Tipo Projeto'!$A$3:$B$44,2,0),0)</f>
        <v>0</v>
      </c>
      <c r="D314" s="44"/>
      <c r="E314" s="44"/>
      <c r="F314" s="45"/>
      <c r="G314" s="44"/>
      <c r="H314" s="189"/>
      <c r="I314" s="149">
        <f t="shared" si="8"/>
        <v>0</v>
      </c>
      <c r="J314" s="149">
        <f t="shared" si="9"/>
        <v>0</v>
      </c>
      <c r="K314" s="44"/>
      <c r="L314" s="220"/>
    </row>
    <row r="315" spans="2:12" s="46" customFormat="1" ht="19.5" customHeight="1">
      <c r="B315" s="56"/>
      <c r="C315" s="155">
        <f>IF(B315&lt;&gt;"",VLOOKUP(B315,'Tipo Projeto'!$A$3:$B$44,2,0),0)</f>
        <v>0</v>
      </c>
      <c r="D315" s="44"/>
      <c r="E315" s="44"/>
      <c r="F315" s="45"/>
      <c r="G315" s="44"/>
      <c r="H315" s="189"/>
      <c r="I315" s="149">
        <f t="shared" si="8"/>
        <v>0</v>
      </c>
      <c r="J315" s="149">
        <f t="shared" si="9"/>
        <v>0</v>
      </c>
      <c r="K315" s="44"/>
      <c r="L315" s="220"/>
    </row>
    <row r="316" spans="2:12" s="46" customFormat="1" ht="19.5" customHeight="1">
      <c r="B316" s="56"/>
      <c r="C316" s="155">
        <f>IF(B316&lt;&gt;"",VLOOKUP(B316,'Tipo Projeto'!$A$3:$B$44,2,0),0)</f>
        <v>0</v>
      </c>
      <c r="D316" s="44"/>
      <c r="E316" s="44"/>
      <c r="F316" s="45"/>
      <c r="G316" s="44"/>
      <c r="H316" s="189"/>
      <c r="I316" s="149">
        <f t="shared" si="8"/>
        <v>0</v>
      </c>
      <c r="J316" s="149">
        <f t="shared" si="9"/>
        <v>0</v>
      </c>
      <c r="K316" s="44"/>
      <c r="L316" s="220"/>
    </row>
    <row r="317" spans="2:12" s="46" customFormat="1" ht="19.5" customHeight="1">
      <c r="B317" s="56"/>
      <c r="C317" s="155">
        <f>IF(B317&lt;&gt;"",VLOOKUP(B317,'Tipo Projeto'!$A$3:$B$44,2,0),0)</f>
        <v>0</v>
      </c>
      <c r="D317" s="44"/>
      <c r="E317" s="44"/>
      <c r="F317" s="45"/>
      <c r="G317" s="44"/>
      <c r="H317" s="189"/>
      <c r="I317" s="149">
        <f t="shared" si="8"/>
        <v>0</v>
      </c>
      <c r="J317" s="149">
        <f t="shared" si="9"/>
        <v>0</v>
      </c>
      <c r="K317" s="44"/>
      <c r="L317" s="220"/>
    </row>
    <row r="318" spans="2:12" s="46" customFormat="1" ht="19.5" customHeight="1">
      <c r="B318" s="56"/>
      <c r="C318" s="155">
        <f>IF(B318&lt;&gt;"",VLOOKUP(B318,'Tipo Projeto'!$A$3:$B$44,2,0),0)</f>
        <v>0</v>
      </c>
      <c r="D318" s="44"/>
      <c r="E318" s="44"/>
      <c r="F318" s="45"/>
      <c r="G318" s="44"/>
      <c r="H318" s="189"/>
      <c r="I318" s="149">
        <f t="shared" si="8"/>
        <v>0</v>
      </c>
      <c r="J318" s="149">
        <f t="shared" si="9"/>
        <v>0</v>
      </c>
      <c r="K318" s="44"/>
      <c r="L318" s="220"/>
    </row>
    <row r="319" spans="2:12" s="46" customFormat="1" ht="19.5" customHeight="1">
      <c r="B319" s="56"/>
      <c r="C319" s="155">
        <f>IF(B319&lt;&gt;"",VLOOKUP(B319,'Tipo Projeto'!$A$3:$B$44,2,0),0)</f>
        <v>0</v>
      </c>
      <c r="D319" s="44"/>
      <c r="E319" s="44"/>
      <c r="F319" s="45"/>
      <c r="G319" s="44"/>
      <c r="H319" s="189"/>
      <c r="I319" s="149">
        <f t="shared" si="8"/>
        <v>0</v>
      </c>
      <c r="J319" s="149">
        <f t="shared" si="9"/>
        <v>0</v>
      </c>
      <c r="K319" s="44"/>
      <c r="L319" s="220"/>
    </row>
    <row r="320" spans="2:12" s="46" customFormat="1" ht="19.5" customHeight="1">
      <c r="B320" s="56"/>
      <c r="C320" s="155">
        <f>IF(B320&lt;&gt;"",VLOOKUP(B320,'Tipo Projeto'!$A$3:$B$44,2,0),0)</f>
        <v>0</v>
      </c>
      <c r="D320" s="44"/>
      <c r="E320" s="44"/>
      <c r="F320" s="45"/>
      <c r="G320" s="44"/>
      <c r="H320" s="189"/>
      <c r="I320" s="149">
        <f t="shared" si="8"/>
        <v>0</v>
      </c>
      <c r="J320" s="149">
        <f t="shared" si="9"/>
        <v>0</v>
      </c>
      <c r="K320" s="44"/>
      <c r="L320" s="220"/>
    </row>
    <row r="321" spans="2:12" s="46" customFormat="1" ht="19.5" customHeight="1">
      <c r="B321" s="56"/>
      <c r="C321" s="155">
        <f>IF(B321&lt;&gt;"",VLOOKUP(B321,'Tipo Projeto'!$A$3:$B$44,2,0),0)</f>
        <v>0</v>
      </c>
      <c r="D321" s="44"/>
      <c r="E321" s="44"/>
      <c r="F321" s="45"/>
      <c r="G321" s="44"/>
      <c r="H321" s="189"/>
      <c r="I321" s="149">
        <f t="shared" si="8"/>
        <v>0</v>
      </c>
      <c r="J321" s="149">
        <f t="shared" si="9"/>
        <v>0</v>
      </c>
      <c r="K321" s="44"/>
      <c r="L321" s="220"/>
    </row>
    <row r="322" spans="2:12" s="46" customFormat="1" ht="19.5" customHeight="1">
      <c r="B322" s="56"/>
      <c r="C322" s="155">
        <f>IF(B322&lt;&gt;"",VLOOKUP(B322,'Tipo Projeto'!$A$3:$B$44,2,0),0)</f>
        <v>0</v>
      </c>
      <c r="D322" s="44"/>
      <c r="E322" s="44"/>
      <c r="F322" s="45"/>
      <c r="G322" s="44"/>
      <c r="H322" s="189"/>
      <c r="I322" s="149">
        <f t="shared" si="8"/>
        <v>0</v>
      </c>
      <c r="J322" s="149">
        <f t="shared" si="9"/>
        <v>0</v>
      </c>
      <c r="K322" s="44"/>
      <c r="L322" s="220"/>
    </row>
    <row r="323" spans="2:12" s="46" customFormat="1" ht="19.5" customHeight="1">
      <c r="B323" s="56"/>
      <c r="C323" s="155">
        <f>IF(B323&lt;&gt;"",VLOOKUP(B323,'Tipo Projeto'!$A$3:$B$44,2,0),0)</f>
        <v>0</v>
      </c>
      <c r="D323" s="44"/>
      <c r="E323" s="44"/>
      <c r="F323" s="45"/>
      <c r="G323" s="44"/>
      <c r="H323" s="189"/>
      <c r="I323" s="149">
        <f t="shared" si="8"/>
        <v>0</v>
      </c>
      <c r="J323" s="149">
        <f t="shared" si="9"/>
        <v>0</v>
      </c>
      <c r="K323" s="44"/>
      <c r="L323" s="220"/>
    </row>
    <row r="324" spans="2:12" s="46" customFormat="1" ht="19.5" customHeight="1">
      <c r="B324" s="56"/>
      <c r="C324" s="155">
        <f>IF(B324&lt;&gt;"",VLOOKUP(B324,'Tipo Projeto'!$A$3:$B$44,2,0),0)</f>
        <v>0</v>
      </c>
      <c r="D324" s="44"/>
      <c r="E324" s="44"/>
      <c r="F324" s="45"/>
      <c r="G324" s="44"/>
      <c r="H324" s="189"/>
      <c r="I324" s="149">
        <f t="shared" si="8"/>
        <v>0</v>
      </c>
      <c r="J324" s="149">
        <f t="shared" si="9"/>
        <v>0</v>
      </c>
      <c r="K324" s="44"/>
      <c r="L324" s="220"/>
    </row>
    <row r="325" spans="2:12" s="46" customFormat="1" ht="19.5" customHeight="1">
      <c r="B325" s="56"/>
      <c r="C325" s="155">
        <f>IF(B325&lt;&gt;"",VLOOKUP(B325,'Tipo Projeto'!$A$3:$B$44,2,0),0)</f>
        <v>0</v>
      </c>
      <c r="D325" s="44"/>
      <c r="E325" s="44"/>
      <c r="F325" s="45"/>
      <c r="G325" s="44"/>
      <c r="H325" s="189"/>
      <c r="I325" s="149">
        <f t="shared" si="8"/>
        <v>0</v>
      </c>
      <c r="J325" s="149">
        <f t="shared" si="9"/>
        <v>0</v>
      </c>
      <c r="K325" s="44"/>
      <c r="L325" s="220"/>
    </row>
    <row r="326" spans="2:12" s="46" customFormat="1" ht="19.5" customHeight="1">
      <c r="B326" s="56"/>
      <c r="C326" s="155">
        <f>IF(B326&lt;&gt;"",VLOOKUP(B326,'Tipo Projeto'!$A$3:$B$44,2,0),0)</f>
        <v>0</v>
      </c>
      <c r="D326" s="44"/>
      <c r="E326" s="44"/>
      <c r="F326" s="45"/>
      <c r="G326" s="44"/>
      <c r="H326" s="189"/>
      <c r="I326" s="149">
        <f t="shared" si="8"/>
        <v>0</v>
      </c>
      <c r="J326" s="149">
        <f t="shared" si="9"/>
        <v>0</v>
      </c>
      <c r="K326" s="44"/>
      <c r="L326" s="220"/>
    </row>
    <row r="327" spans="2:12" s="46" customFormat="1" ht="19.5" customHeight="1">
      <c r="B327" s="56"/>
      <c r="C327" s="155">
        <f>IF(B327&lt;&gt;"",VLOOKUP(B327,'Tipo Projeto'!$A$3:$B$44,2,0),0)</f>
        <v>0</v>
      </c>
      <c r="D327" s="44"/>
      <c r="E327" s="44"/>
      <c r="F327" s="45"/>
      <c r="G327" s="44"/>
      <c r="H327" s="189"/>
      <c r="I327" s="149">
        <f t="shared" si="8"/>
        <v>0</v>
      </c>
      <c r="J327" s="149">
        <f t="shared" si="9"/>
        <v>0</v>
      </c>
      <c r="K327" s="44"/>
      <c r="L327" s="220"/>
    </row>
    <row r="328" spans="2:12" s="46" customFormat="1" ht="19.5" customHeight="1">
      <c r="B328" s="56"/>
      <c r="C328" s="155">
        <f>IF(B328&lt;&gt;"",VLOOKUP(B328,'Tipo Projeto'!$A$3:$B$44,2,0),0)</f>
        <v>0</v>
      </c>
      <c r="D328" s="44"/>
      <c r="E328" s="44"/>
      <c r="F328" s="45"/>
      <c r="G328" s="44"/>
      <c r="H328" s="189"/>
      <c r="I328" s="149">
        <f t="shared" si="8"/>
        <v>0</v>
      </c>
      <c r="J328" s="149">
        <f t="shared" si="9"/>
        <v>0</v>
      </c>
      <c r="K328" s="44"/>
      <c r="L328" s="220"/>
    </row>
    <row r="329" spans="2:12" s="46" customFormat="1" ht="19.5" customHeight="1">
      <c r="B329" s="56"/>
      <c r="C329" s="155">
        <f>IF(B329&lt;&gt;"",VLOOKUP(B329,'Tipo Projeto'!$A$3:$B$44,2,0),0)</f>
        <v>0</v>
      </c>
      <c r="D329" s="44"/>
      <c r="E329" s="44"/>
      <c r="F329" s="45"/>
      <c r="G329" s="44"/>
      <c r="H329" s="189"/>
      <c r="I329" s="149">
        <f t="shared" si="8"/>
        <v>0</v>
      </c>
      <c r="J329" s="149">
        <f t="shared" si="9"/>
        <v>0</v>
      </c>
      <c r="K329" s="44"/>
      <c r="L329" s="220"/>
    </row>
    <row r="330" spans="2:12" s="46" customFormat="1" ht="19.5" customHeight="1">
      <c r="B330" s="56"/>
      <c r="C330" s="155">
        <f>IF(B330&lt;&gt;"",VLOOKUP(B330,'Tipo Projeto'!$A$3:$B$44,2,0),0)</f>
        <v>0</v>
      </c>
      <c r="D330" s="44"/>
      <c r="E330" s="44"/>
      <c r="F330" s="45"/>
      <c r="G330" s="44"/>
      <c r="H330" s="189"/>
      <c r="I330" s="149">
        <f t="shared" si="8"/>
        <v>0</v>
      </c>
      <c r="J330" s="149">
        <f t="shared" si="9"/>
        <v>0</v>
      </c>
      <c r="K330" s="44"/>
      <c r="L330" s="220"/>
    </row>
    <row r="331" spans="2:12" s="46" customFormat="1" ht="19.5" customHeight="1">
      <c r="B331" s="56"/>
      <c r="C331" s="155">
        <f>IF(B331&lt;&gt;"",VLOOKUP(B331,'Tipo Projeto'!$A$3:$B$44,2,0),0)</f>
        <v>0</v>
      </c>
      <c r="D331" s="44"/>
      <c r="E331" s="44"/>
      <c r="F331" s="45"/>
      <c r="G331" s="44"/>
      <c r="H331" s="189"/>
      <c r="I331" s="149">
        <f t="shared" ref="I331:I382" si="10">IF(G331="INM",C331*H331,IF(B331&lt;&gt;"Manutenção em interface",IF(B331&lt;&gt;"Desenv., Manutenção e Publicação de Páginas Estáticas",IF(G331="EE",4,IF(G331="CE",4,IF(G331="SE",5,IF(G331="ALI",7,IF(G331="AIE",5,0)))))*1,0),0))</f>
        <v>0</v>
      </c>
      <c r="J331" s="149">
        <f t="shared" ref="J331:J382" si="11">IF(G331="INM",C331*H331,IF(B331&lt;&gt;"Manutenção em interface",IF(B331&lt;&gt;"Desenv., Manutenção e Publicação de Páginas Estáticas",IF(G331="EE",4,IF(G331="CE",4,IF(G331="SE",5,IF(G331="ALI",7,IF(G331="AIE",5,0)))))*C331,C331),C331))</f>
        <v>0</v>
      </c>
      <c r="K331" s="44"/>
      <c r="L331" s="220"/>
    </row>
    <row r="332" spans="2:12" s="46" customFormat="1" ht="19.5" customHeight="1">
      <c r="B332" s="56"/>
      <c r="C332" s="155">
        <f>IF(B332&lt;&gt;"",VLOOKUP(B332,'Tipo Projeto'!$A$3:$B$44,2,0),0)</f>
        <v>0</v>
      </c>
      <c r="D332" s="44"/>
      <c r="E332" s="44"/>
      <c r="F332" s="45"/>
      <c r="G332" s="44"/>
      <c r="H332" s="189"/>
      <c r="I332" s="149">
        <f t="shared" si="10"/>
        <v>0</v>
      </c>
      <c r="J332" s="149">
        <f t="shared" si="11"/>
        <v>0</v>
      </c>
      <c r="K332" s="44"/>
      <c r="L332" s="220"/>
    </row>
    <row r="333" spans="2:12" s="46" customFormat="1" ht="19.5" customHeight="1">
      <c r="B333" s="56"/>
      <c r="C333" s="155">
        <f>IF(B333&lt;&gt;"",VLOOKUP(B333,'Tipo Projeto'!$A$3:$B$44,2,0),0)</f>
        <v>0</v>
      </c>
      <c r="D333" s="44"/>
      <c r="E333" s="44"/>
      <c r="F333" s="45"/>
      <c r="G333" s="44"/>
      <c r="H333" s="189"/>
      <c r="I333" s="149">
        <f t="shared" si="10"/>
        <v>0</v>
      </c>
      <c r="J333" s="149">
        <f t="shared" si="11"/>
        <v>0</v>
      </c>
      <c r="K333" s="44"/>
      <c r="L333" s="220"/>
    </row>
    <row r="334" spans="2:12" s="46" customFormat="1" ht="19.5" customHeight="1">
      <c r="B334" s="56"/>
      <c r="C334" s="155">
        <f>IF(B334&lt;&gt;"",VLOOKUP(B334,'Tipo Projeto'!$A$3:$B$44,2,0),0)</f>
        <v>0</v>
      </c>
      <c r="D334" s="44"/>
      <c r="E334" s="44"/>
      <c r="F334" s="45"/>
      <c r="G334" s="44"/>
      <c r="H334" s="189"/>
      <c r="I334" s="149">
        <f t="shared" si="10"/>
        <v>0</v>
      </c>
      <c r="J334" s="149">
        <f t="shared" si="11"/>
        <v>0</v>
      </c>
      <c r="K334" s="44"/>
      <c r="L334" s="220"/>
    </row>
    <row r="335" spans="2:12" s="46" customFormat="1" ht="19.5" customHeight="1">
      <c r="B335" s="56"/>
      <c r="C335" s="155">
        <f>IF(B335&lt;&gt;"",VLOOKUP(B335,'Tipo Projeto'!$A$3:$B$44,2,0),0)</f>
        <v>0</v>
      </c>
      <c r="D335" s="44"/>
      <c r="E335" s="44"/>
      <c r="F335" s="45"/>
      <c r="G335" s="44"/>
      <c r="H335" s="189"/>
      <c r="I335" s="149">
        <f t="shared" si="10"/>
        <v>0</v>
      </c>
      <c r="J335" s="149">
        <f t="shared" si="11"/>
        <v>0</v>
      </c>
      <c r="K335" s="44"/>
      <c r="L335" s="220"/>
    </row>
    <row r="336" spans="2:12" s="46" customFormat="1" ht="19.5" customHeight="1">
      <c r="B336" s="56"/>
      <c r="C336" s="155">
        <f>IF(B336&lt;&gt;"",VLOOKUP(B336,'Tipo Projeto'!$A$3:$B$44,2,0),0)</f>
        <v>0</v>
      </c>
      <c r="D336" s="44"/>
      <c r="E336" s="44"/>
      <c r="F336" s="45"/>
      <c r="G336" s="44"/>
      <c r="H336" s="189"/>
      <c r="I336" s="149">
        <f t="shared" si="10"/>
        <v>0</v>
      </c>
      <c r="J336" s="149">
        <f t="shared" si="11"/>
        <v>0</v>
      </c>
      <c r="K336" s="44"/>
      <c r="L336" s="220"/>
    </row>
    <row r="337" spans="2:12" s="46" customFormat="1" ht="19.5" customHeight="1">
      <c r="B337" s="56"/>
      <c r="C337" s="155">
        <f>IF(B337&lt;&gt;"",VLOOKUP(B337,'Tipo Projeto'!$A$3:$B$44,2,0),0)</f>
        <v>0</v>
      </c>
      <c r="D337" s="44"/>
      <c r="E337" s="44"/>
      <c r="F337" s="45"/>
      <c r="G337" s="44"/>
      <c r="H337" s="189"/>
      <c r="I337" s="149">
        <f t="shared" si="10"/>
        <v>0</v>
      </c>
      <c r="J337" s="149">
        <f t="shared" si="11"/>
        <v>0</v>
      </c>
      <c r="K337" s="44"/>
      <c r="L337" s="220"/>
    </row>
    <row r="338" spans="2:12" s="46" customFormat="1" ht="19.5" customHeight="1">
      <c r="B338" s="56"/>
      <c r="C338" s="155">
        <f>IF(B338&lt;&gt;"",VLOOKUP(B338,'Tipo Projeto'!$A$3:$B$44,2,0),0)</f>
        <v>0</v>
      </c>
      <c r="D338" s="44"/>
      <c r="E338" s="44"/>
      <c r="F338" s="45"/>
      <c r="G338" s="44"/>
      <c r="H338" s="189"/>
      <c r="I338" s="149">
        <f t="shared" si="10"/>
        <v>0</v>
      </c>
      <c r="J338" s="149">
        <f t="shared" si="11"/>
        <v>0</v>
      </c>
      <c r="K338" s="44"/>
      <c r="L338" s="220"/>
    </row>
    <row r="339" spans="2:12" s="46" customFormat="1" ht="19.5" customHeight="1">
      <c r="B339" s="56"/>
      <c r="C339" s="155">
        <f>IF(B339&lt;&gt;"",VLOOKUP(B339,'Tipo Projeto'!$A$3:$B$44,2,0),0)</f>
        <v>0</v>
      </c>
      <c r="D339" s="44"/>
      <c r="E339" s="44"/>
      <c r="F339" s="45"/>
      <c r="G339" s="44"/>
      <c r="H339" s="189"/>
      <c r="I339" s="149">
        <f t="shared" si="10"/>
        <v>0</v>
      </c>
      <c r="J339" s="149">
        <f t="shared" si="11"/>
        <v>0</v>
      </c>
      <c r="K339" s="44"/>
      <c r="L339" s="220"/>
    </row>
    <row r="340" spans="2:12" s="46" customFormat="1" ht="19.5" customHeight="1">
      <c r="B340" s="56"/>
      <c r="C340" s="155">
        <f>IF(B340&lt;&gt;"",VLOOKUP(B340,'Tipo Projeto'!$A$3:$B$44,2,0),0)</f>
        <v>0</v>
      </c>
      <c r="D340" s="44"/>
      <c r="E340" s="44"/>
      <c r="F340" s="45"/>
      <c r="G340" s="44"/>
      <c r="H340" s="189"/>
      <c r="I340" s="149">
        <f t="shared" si="10"/>
        <v>0</v>
      </c>
      <c r="J340" s="149">
        <f t="shared" si="11"/>
        <v>0</v>
      </c>
      <c r="K340" s="44"/>
      <c r="L340" s="220"/>
    </row>
    <row r="341" spans="2:12" s="46" customFormat="1" ht="19.5" customHeight="1">
      <c r="B341" s="56"/>
      <c r="C341" s="155">
        <f>IF(B341&lt;&gt;"",VLOOKUP(B341,'Tipo Projeto'!$A$3:$B$44,2,0),0)</f>
        <v>0</v>
      </c>
      <c r="D341" s="44"/>
      <c r="E341" s="44"/>
      <c r="F341" s="45"/>
      <c r="G341" s="44"/>
      <c r="H341" s="189"/>
      <c r="I341" s="149">
        <f t="shared" si="10"/>
        <v>0</v>
      </c>
      <c r="J341" s="149">
        <f t="shared" si="11"/>
        <v>0</v>
      </c>
      <c r="K341" s="44"/>
      <c r="L341" s="220"/>
    </row>
    <row r="342" spans="2:12" s="46" customFormat="1" ht="19.5" customHeight="1">
      <c r="B342" s="56"/>
      <c r="C342" s="155">
        <f>IF(B342&lt;&gt;"",VLOOKUP(B342,'Tipo Projeto'!$A$3:$B$44,2,0),0)</f>
        <v>0</v>
      </c>
      <c r="D342" s="44"/>
      <c r="E342" s="44"/>
      <c r="F342" s="45"/>
      <c r="G342" s="44"/>
      <c r="H342" s="189"/>
      <c r="I342" s="149">
        <f t="shared" si="10"/>
        <v>0</v>
      </c>
      <c r="J342" s="149">
        <f t="shared" si="11"/>
        <v>0</v>
      </c>
      <c r="K342" s="44"/>
      <c r="L342" s="220"/>
    </row>
    <row r="343" spans="2:12" s="46" customFormat="1" ht="19.5" customHeight="1">
      <c r="B343" s="56"/>
      <c r="C343" s="155">
        <f>IF(B343&lt;&gt;"",VLOOKUP(B343,'Tipo Projeto'!$A$3:$B$44,2,0),0)</f>
        <v>0</v>
      </c>
      <c r="D343" s="44"/>
      <c r="E343" s="44"/>
      <c r="F343" s="45"/>
      <c r="G343" s="44"/>
      <c r="H343" s="189"/>
      <c r="I343" s="149">
        <f t="shared" si="10"/>
        <v>0</v>
      </c>
      <c r="J343" s="149">
        <f t="shared" si="11"/>
        <v>0</v>
      </c>
      <c r="K343" s="44"/>
      <c r="L343" s="220"/>
    </row>
    <row r="344" spans="2:12" s="46" customFormat="1" ht="19.5" customHeight="1">
      <c r="B344" s="56"/>
      <c r="C344" s="155">
        <f>IF(B344&lt;&gt;"",VLOOKUP(B344,'Tipo Projeto'!$A$3:$B$44,2,0),0)</f>
        <v>0</v>
      </c>
      <c r="D344" s="44"/>
      <c r="E344" s="44"/>
      <c r="F344" s="45"/>
      <c r="G344" s="44"/>
      <c r="H344" s="189"/>
      <c r="I344" s="149">
        <f t="shared" si="10"/>
        <v>0</v>
      </c>
      <c r="J344" s="149">
        <f t="shared" si="11"/>
        <v>0</v>
      </c>
      <c r="K344" s="44"/>
      <c r="L344" s="220"/>
    </row>
    <row r="345" spans="2:12" s="46" customFormat="1" ht="19.5" customHeight="1">
      <c r="B345" s="56"/>
      <c r="C345" s="155">
        <f>IF(B345&lt;&gt;"",VLOOKUP(B345,'Tipo Projeto'!$A$3:$B$44,2,0),0)</f>
        <v>0</v>
      </c>
      <c r="D345" s="44"/>
      <c r="E345" s="44"/>
      <c r="F345" s="45"/>
      <c r="G345" s="44"/>
      <c r="H345" s="189"/>
      <c r="I345" s="149">
        <f t="shared" si="10"/>
        <v>0</v>
      </c>
      <c r="J345" s="149">
        <f t="shared" si="11"/>
        <v>0</v>
      </c>
      <c r="K345" s="44"/>
      <c r="L345" s="220"/>
    </row>
    <row r="346" spans="2:12" s="46" customFormat="1" ht="19.5" customHeight="1">
      <c r="B346" s="56"/>
      <c r="C346" s="155">
        <f>IF(B346&lt;&gt;"",VLOOKUP(B346,'Tipo Projeto'!$A$3:$B$44,2,0),0)</f>
        <v>0</v>
      </c>
      <c r="D346" s="44"/>
      <c r="E346" s="44"/>
      <c r="F346" s="45"/>
      <c r="G346" s="44"/>
      <c r="H346" s="189"/>
      <c r="I346" s="149">
        <f t="shared" si="10"/>
        <v>0</v>
      </c>
      <c r="J346" s="149">
        <f t="shared" si="11"/>
        <v>0</v>
      </c>
      <c r="K346" s="44"/>
      <c r="L346" s="220"/>
    </row>
    <row r="347" spans="2:12" s="46" customFormat="1" ht="19.5" customHeight="1">
      <c r="B347" s="56"/>
      <c r="C347" s="155">
        <f>IF(B347&lt;&gt;"",VLOOKUP(B347,'Tipo Projeto'!$A$3:$B$44,2,0),0)</f>
        <v>0</v>
      </c>
      <c r="D347" s="44"/>
      <c r="E347" s="44"/>
      <c r="F347" s="45"/>
      <c r="G347" s="44"/>
      <c r="H347" s="189"/>
      <c r="I347" s="149">
        <f t="shared" si="10"/>
        <v>0</v>
      </c>
      <c r="J347" s="149">
        <f t="shared" si="11"/>
        <v>0</v>
      </c>
      <c r="K347" s="44"/>
      <c r="L347" s="220"/>
    </row>
    <row r="348" spans="2:12" s="46" customFormat="1" ht="19.5" customHeight="1">
      <c r="B348" s="56"/>
      <c r="C348" s="155">
        <f>IF(B348&lt;&gt;"",VLOOKUP(B348,'Tipo Projeto'!$A$3:$B$44,2,0),0)</f>
        <v>0</v>
      </c>
      <c r="D348" s="44"/>
      <c r="E348" s="44"/>
      <c r="F348" s="45"/>
      <c r="G348" s="44"/>
      <c r="H348" s="189"/>
      <c r="I348" s="149">
        <f t="shared" si="10"/>
        <v>0</v>
      </c>
      <c r="J348" s="149">
        <f t="shared" si="11"/>
        <v>0</v>
      </c>
      <c r="K348" s="44"/>
      <c r="L348" s="220"/>
    </row>
    <row r="349" spans="2:12" s="46" customFormat="1" ht="19.5" customHeight="1">
      <c r="B349" s="56"/>
      <c r="C349" s="155">
        <f>IF(B349&lt;&gt;"",VLOOKUP(B349,'Tipo Projeto'!$A$3:$B$44,2,0),0)</f>
        <v>0</v>
      </c>
      <c r="D349" s="44"/>
      <c r="E349" s="44"/>
      <c r="F349" s="45"/>
      <c r="G349" s="44"/>
      <c r="H349" s="189"/>
      <c r="I349" s="149">
        <f t="shared" si="10"/>
        <v>0</v>
      </c>
      <c r="J349" s="149">
        <f t="shared" si="11"/>
        <v>0</v>
      </c>
      <c r="K349" s="44"/>
      <c r="L349" s="220"/>
    </row>
    <row r="350" spans="2:12" s="46" customFormat="1" ht="19.5" customHeight="1">
      <c r="B350" s="56"/>
      <c r="C350" s="155">
        <f>IF(B350&lt;&gt;"",VLOOKUP(B350,'Tipo Projeto'!$A$3:$B$44,2,0),0)</f>
        <v>0</v>
      </c>
      <c r="D350" s="44"/>
      <c r="E350" s="44"/>
      <c r="F350" s="45"/>
      <c r="G350" s="44"/>
      <c r="H350" s="189"/>
      <c r="I350" s="149">
        <f t="shared" si="10"/>
        <v>0</v>
      </c>
      <c r="J350" s="149">
        <f t="shared" si="11"/>
        <v>0</v>
      </c>
      <c r="K350" s="44"/>
      <c r="L350" s="220"/>
    </row>
    <row r="351" spans="2:12" s="46" customFormat="1" ht="19.5" customHeight="1">
      <c r="B351" s="56"/>
      <c r="C351" s="155">
        <f>IF(B351&lt;&gt;"",VLOOKUP(B351,'Tipo Projeto'!$A$3:$B$44,2,0),0)</f>
        <v>0</v>
      </c>
      <c r="D351" s="44"/>
      <c r="E351" s="44"/>
      <c r="F351" s="45"/>
      <c r="G351" s="44"/>
      <c r="H351" s="189"/>
      <c r="I351" s="149">
        <f t="shared" si="10"/>
        <v>0</v>
      </c>
      <c r="J351" s="149">
        <f t="shared" si="11"/>
        <v>0</v>
      </c>
      <c r="K351" s="44"/>
      <c r="L351" s="220"/>
    </row>
    <row r="352" spans="2:12" s="46" customFormat="1" ht="19.5" customHeight="1">
      <c r="B352" s="56"/>
      <c r="C352" s="155">
        <f>IF(B352&lt;&gt;"",VLOOKUP(B352,'Tipo Projeto'!$A$3:$B$44,2,0),0)</f>
        <v>0</v>
      </c>
      <c r="D352" s="44"/>
      <c r="E352" s="44"/>
      <c r="F352" s="45"/>
      <c r="G352" s="44"/>
      <c r="H352" s="189"/>
      <c r="I352" s="149">
        <f t="shared" si="10"/>
        <v>0</v>
      </c>
      <c r="J352" s="149">
        <f t="shared" si="11"/>
        <v>0</v>
      </c>
      <c r="K352" s="44"/>
      <c r="L352" s="220"/>
    </row>
    <row r="353" spans="2:12" s="46" customFormat="1" ht="19.5" customHeight="1">
      <c r="B353" s="56"/>
      <c r="C353" s="155">
        <f>IF(B353&lt;&gt;"",VLOOKUP(B353,'Tipo Projeto'!$A$3:$B$44,2,0),0)</f>
        <v>0</v>
      </c>
      <c r="D353" s="44"/>
      <c r="E353" s="44"/>
      <c r="F353" s="45"/>
      <c r="G353" s="44"/>
      <c r="H353" s="189"/>
      <c r="I353" s="149">
        <f t="shared" si="10"/>
        <v>0</v>
      </c>
      <c r="J353" s="149">
        <f t="shared" si="11"/>
        <v>0</v>
      </c>
      <c r="K353" s="44"/>
      <c r="L353" s="220"/>
    </row>
    <row r="354" spans="2:12" s="46" customFormat="1" ht="19.5" customHeight="1">
      <c r="B354" s="56"/>
      <c r="C354" s="155">
        <f>IF(B354&lt;&gt;"",VLOOKUP(B354,'Tipo Projeto'!$A$3:$B$44,2,0),0)</f>
        <v>0</v>
      </c>
      <c r="D354" s="44"/>
      <c r="E354" s="44"/>
      <c r="F354" s="45"/>
      <c r="G354" s="44"/>
      <c r="H354" s="189"/>
      <c r="I354" s="149">
        <f t="shared" si="10"/>
        <v>0</v>
      </c>
      <c r="J354" s="149">
        <f t="shared" si="11"/>
        <v>0</v>
      </c>
      <c r="K354" s="44"/>
      <c r="L354" s="220"/>
    </row>
    <row r="355" spans="2:12" s="46" customFormat="1" ht="19.5" customHeight="1">
      <c r="B355" s="56"/>
      <c r="C355" s="155">
        <f>IF(B355&lt;&gt;"",VLOOKUP(B355,'Tipo Projeto'!$A$3:$B$44,2,0),0)</f>
        <v>0</v>
      </c>
      <c r="D355" s="44"/>
      <c r="E355" s="44"/>
      <c r="F355" s="45"/>
      <c r="G355" s="44"/>
      <c r="H355" s="189"/>
      <c r="I355" s="149">
        <f t="shared" si="10"/>
        <v>0</v>
      </c>
      <c r="J355" s="149">
        <f t="shared" si="11"/>
        <v>0</v>
      </c>
      <c r="K355" s="44"/>
      <c r="L355" s="220"/>
    </row>
    <row r="356" spans="2:12" s="46" customFormat="1" ht="19.5" customHeight="1">
      <c r="B356" s="56"/>
      <c r="C356" s="155">
        <f>IF(B356&lt;&gt;"",VLOOKUP(B356,'Tipo Projeto'!$A$3:$B$44,2,0),0)</f>
        <v>0</v>
      </c>
      <c r="D356" s="44"/>
      <c r="E356" s="44"/>
      <c r="F356" s="45"/>
      <c r="G356" s="44"/>
      <c r="H356" s="189"/>
      <c r="I356" s="149">
        <f t="shared" si="10"/>
        <v>0</v>
      </c>
      <c r="J356" s="149">
        <f t="shared" si="11"/>
        <v>0</v>
      </c>
      <c r="K356" s="44"/>
      <c r="L356" s="220"/>
    </row>
    <row r="357" spans="2:12" s="46" customFormat="1" ht="19.5" customHeight="1">
      <c r="B357" s="56"/>
      <c r="C357" s="155">
        <f>IF(B357&lt;&gt;"",VLOOKUP(B357,'Tipo Projeto'!$A$3:$B$44,2,0),0)</f>
        <v>0</v>
      </c>
      <c r="D357" s="44"/>
      <c r="E357" s="44"/>
      <c r="F357" s="45"/>
      <c r="G357" s="44"/>
      <c r="H357" s="189"/>
      <c r="I357" s="149">
        <f t="shared" si="10"/>
        <v>0</v>
      </c>
      <c r="J357" s="149">
        <f t="shared" si="11"/>
        <v>0</v>
      </c>
      <c r="K357" s="44"/>
      <c r="L357" s="220"/>
    </row>
    <row r="358" spans="2:12" s="46" customFormat="1" ht="19.5" customHeight="1">
      <c r="B358" s="56"/>
      <c r="C358" s="155">
        <f>IF(B358&lt;&gt;"",VLOOKUP(B358,'Tipo Projeto'!$A$3:$B$44,2,0),0)</f>
        <v>0</v>
      </c>
      <c r="D358" s="44"/>
      <c r="E358" s="44"/>
      <c r="F358" s="45"/>
      <c r="G358" s="44"/>
      <c r="H358" s="189"/>
      <c r="I358" s="149">
        <f t="shared" si="10"/>
        <v>0</v>
      </c>
      <c r="J358" s="149">
        <f t="shared" si="11"/>
        <v>0</v>
      </c>
      <c r="K358" s="44"/>
      <c r="L358" s="220"/>
    </row>
    <row r="359" spans="2:12" s="46" customFormat="1" ht="19.5" customHeight="1">
      <c r="B359" s="56"/>
      <c r="C359" s="155">
        <f>IF(B359&lt;&gt;"",VLOOKUP(B359,'Tipo Projeto'!$A$3:$B$44,2,0),0)</f>
        <v>0</v>
      </c>
      <c r="D359" s="44"/>
      <c r="E359" s="44"/>
      <c r="F359" s="45"/>
      <c r="G359" s="44"/>
      <c r="H359" s="189"/>
      <c r="I359" s="149">
        <f t="shared" si="10"/>
        <v>0</v>
      </c>
      <c r="J359" s="149">
        <f t="shared" si="11"/>
        <v>0</v>
      </c>
      <c r="K359" s="44"/>
      <c r="L359" s="220"/>
    </row>
    <row r="360" spans="2:12" s="46" customFormat="1" ht="19.5" customHeight="1">
      <c r="B360" s="56"/>
      <c r="C360" s="155">
        <f>IF(B360&lt;&gt;"",VLOOKUP(B360,'Tipo Projeto'!$A$3:$B$44,2,0),0)</f>
        <v>0</v>
      </c>
      <c r="D360" s="44"/>
      <c r="E360" s="44"/>
      <c r="F360" s="45"/>
      <c r="G360" s="44"/>
      <c r="H360" s="189"/>
      <c r="I360" s="149">
        <f t="shared" si="10"/>
        <v>0</v>
      </c>
      <c r="J360" s="149">
        <f t="shared" si="11"/>
        <v>0</v>
      </c>
      <c r="K360" s="44"/>
      <c r="L360" s="220"/>
    </row>
    <row r="361" spans="2:12" s="46" customFormat="1" ht="19.5" customHeight="1">
      <c r="B361" s="56"/>
      <c r="C361" s="155">
        <f>IF(B361&lt;&gt;"",VLOOKUP(B361,'Tipo Projeto'!$A$3:$B$44,2,0),0)</f>
        <v>0</v>
      </c>
      <c r="D361" s="44"/>
      <c r="E361" s="44"/>
      <c r="F361" s="45"/>
      <c r="G361" s="44"/>
      <c r="H361" s="189"/>
      <c r="I361" s="149">
        <f t="shared" si="10"/>
        <v>0</v>
      </c>
      <c r="J361" s="149">
        <f t="shared" si="11"/>
        <v>0</v>
      </c>
      <c r="K361" s="44"/>
      <c r="L361" s="220"/>
    </row>
    <row r="362" spans="2:12" s="46" customFormat="1" ht="19.5" customHeight="1">
      <c r="B362" s="56"/>
      <c r="C362" s="155">
        <f>IF(B362&lt;&gt;"",VLOOKUP(B362,'Tipo Projeto'!$A$3:$B$44,2,0),0)</f>
        <v>0</v>
      </c>
      <c r="D362" s="44"/>
      <c r="E362" s="44"/>
      <c r="F362" s="45"/>
      <c r="G362" s="44"/>
      <c r="H362" s="189"/>
      <c r="I362" s="149">
        <f t="shared" si="10"/>
        <v>0</v>
      </c>
      <c r="J362" s="149">
        <f t="shared" si="11"/>
        <v>0</v>
      </c>
      <c r="K362" s="44"/>
      <c r="L362" s="220"/>
    </row>
    <row r="363" spans="2:12" s="46" customFormat="1" ht="19.5" customHeight="1">
      <c r="B363" s="56"/>
      <c r="C363" s="155">
        <f>IF(B363&lt;&gt;"",VLOOKUP(B363,'Tipo Projeto'!$A$3:$B$44,2,0),0)</f>
        <v>0</v>
      </c>
      <c r="D363" s="44"/>
      <c r="E363" s="44"/>
      <c r="F363" s="45"/>
      <c r="G363" s="44"/>
      <c r="H363" s="189"/>
      <c r="I363" s="149">
        <f t="shared" si="10"/>
        <v>0</v>
      </c>
      <c r="J363" s="149">
        <f t="shared" si="11"/>
        <v>0</v>
      </c>
      <c r="K363" s="44"/>
      <c r="L363" s="220"/>
    </row>
    <row r="364" spans="2:12" s="46" customFormat="1" ht="19.5" customHeight="1">
      <c r="B364" s="56"/>
      <c r="C364" s="155">
        <f>IF(B364&lt;&gt;"",VLOOKUP(B364,'Tipo Projeto'!$A$3:$B$44,2,0),0)</f>
        <v>0</v>
      </c>
      <c r="D364" s="44"/>
      <c r="E364" s="44"/>
      <c r="F364" s="45"/>
      <c r="G364" s="44"/>
      <c r="H364" s="189"/>
      <c r="I364" s="149">
        <f t="shared" si="10"/>
        <v>0</v>
      </c>
      <c r="J364" s="149">
        <f t="shared" si="11"/>
        <v>0</v>
      </c>
      <c r="K364" s="44"/>
      <c r="L364" s="220"/>
    </row>
    <row r="365" spans="2:12" s="46" customFormat="1" ht="19.5" customHeight="1">
      <c r="B365" s="56"/>
      <c r="C365" s="155">
        <f>IF(B365&lt;&gt;"",VLOOKUP(B365,'Tipo Projeto'!$A$3:$B$44,2,0),0)</f>
        <v>0</v>
      </c>
      <c r="D365" s="44"/>
      <c r="E365" s="44"/>
      <c r="F365" s="45"/>
      <c r="G365" s="44"/>
      <c r="H365" s="189"/>
      <c r="I365" s="149">
        <f t="shared" si="10"/>
        <v>0</v>
      </c>
      <c r="J365" s="149">
        <f t="shared" si="11"/>
        <v>0</v>
      </c>
      <c r="K365" s="44"/>
      <c r="L365" s="220"/>
    </row>
    <row r="366" spans="2:12" s="46" customFormat="1" ht="19.5" customHeight="1">
      <c r="B366" s="56"/>
      <c r="C366" s="155">
        <f>IF(B366&lt;&gt;"",VLOOKUP(B366,'Tipo Projeto'!$A$3:$B$44,2,0),0)</f>
        <v>0</v>
      </c>
      <c r="D366" s="44"/>
      <c r="E366" s="44"/>
      <c r="F366" s="45"/>
      <c r="G366" s="44"/>
      <c r="H366" s="189"/>
      <c r="I366" s="149">
        <f t="shared" si="10"/>
        <v>0</v>
      </c>
      <c r="J366" s="149">
        <f t="shared" si="11"/>
        <v>0</v>
      </c>
      <c r="K366" s="44"/>
      <c r="L366" s="220"/>
    </row>
    <row r="367" spans="2:12" s="46" customFormat="1" ht="19.5" customHeight="1">
      <c r="B367" s="56"/>
      <c r="C367" s="155">
        <f>IF(B367&lt;&gt;"",VLOOKUP(B367,'Tipo Projeto'!$A$3:$B$44,2,0),0)</f>
        <v>0</v>
      </c>
      <c r="D367" s="44"/>
      <c r="E367" s="44"/>
      <c r="F367" s="45"/>
      <c r="G367" s="44"/>
      <c r="H367" s="189"/>
      <c r="I367" s="149">
        <f t="shared" si="10"/>
        <v>0</v>
      </c>
      <c r="J367" s="149">
        <f t="shared" si="11"/>
        <v>0</v>
      </c>
      <c r="K367" s="44"/>
      <c r="L367" s="220"/>
    </row>
    <row r="368" spans="2:12" s="46" customFormat="1" ht="19.5" customHeight="1">
      <c r="B368" s="56"/>
      <c r="C368" s="155">
        <f>IF(B368&lt;&gt;"",VLOOKUP(B368,'Tipo Projeto'!$A$3:$B$44,2,0),0)</f>
        <v>0</v>
      </c>
      <c r="D368" s="44"/>
      <c r="E368" s="44"/>
      <c r="F368" s="45"/>
      <c r="G368" s="44"/>
      <c r="H368" s="189"/>
      <c r="I368" s="149">
        <f t="shared" si="10"/>
        <v>0</v>
      </c>
      <c r="J368" s="149">
        <f t="shared" si="11"/>
        <v>0</v>
      </c>
      <c r="K368" s="44"/>
      <c r="L368" s="220"/>
    </row>
    <row r="369" spans="2:12" s="46" customFormat="1" ht="19.5" customHeight="1">
      <c r="B369" s="56"/>
      <c r="C369" s="155">
        <f>IF(B369&lt;&gt;"",VLOOKUP(B369,'Tipo Projeto'!$A$3:$B$44,2,0),0)</f>
        <v>0</v>
      </c>
      <c r="D369" s="44"/>
      <c r="E369" s="44"/>
      <c r="F369" s="45"/>
      <c r="G369" s="44"/>
      <c r="H369" s="189"/>
      <c r="I369" s="149">
        <f t="shared" si="10"/>
        <v>0</v>
      </c>
      <c r="J369" s="149">
        <f t="shared" si="11"/>
        <v>0</v>
      </c>
      <c r="K369" s="44"/>
      <c r="L369" s="220"/>
    </row>
    <row r="370" spans="2:12" s="46" customFormat="1" ht="19.5" customHeight="1">
      <c r="B370" s="56"/>
      <c r="C370" s="155">
        <f>IF(B370&lt;&gt;"",VLOOKUP(B370,'Tipo Projeto'!$A$3:$B$44,2,0),0)</f>
        <v>0</v>
      </c>
      <c r="D370" s="44"/>
      <c r="E370" s="44"/>
      <c r="F370" s="45"/>
      <c r="G370" s="44"/>
      <c r="H370" s="189"/>
      <c r="I370" s="149">
        <f t="shared" si="10"/>
        <v>0</v>
      </c>
      <c r="J370" s="149">
        <f t="shared" si="11"/>
        <v>0</v>
      </c>
      <c r="K370" s="44"/>
      <c r="L370" s="220"/>
    </row>
    <row r="371" spans="2:12" s="46" customFormat="1" ht="19.5" customHeight="1">
      <c r="B371" s="56"/>
      <c r="C371" s="155">
        <f>IF(B371&lt;&gt;"",VLOOKUP(B371,'Tipo Projeto'!$A$3:$B$44,2,0),0)</f>
        <v>0</v>
      </c>
      <c r="D371" s="44"/>
      <c r="E371" s="44"/>
      <c r="F371" s="45"/>
      <c r="G371" s="44"/>
      <c r="H371" s="189"/>
      <c r="I371" s="149">
        <f t="shared" si="10"/>
        <v>0</v>
      </c>
      <c r="J371" s="149">
        <f t="shared" si="11"/>
        <v>0</v>
      </c>
      <c r="K371" s="44"/>
      <c r="L371" s="220"/>
    </row>
    <row r="372" spans="2:12" s="46" customFormat="1" ht="19.5" customHeight="1">
      <c r="B372" s="56"/>
      <c r="C372" s="155">
        <f>IF(B372&lt;&gt;"",VLOOKUP(B372,'Tipo Projeto'!$A$3:$B$44,2,0),0)</f>
        <v>0</v>
      </c>
      <c r="D372" s="44"/>
      <c r="E372" s="44"/>
      <c r="F372" s="45"/>
      <c r="G372" s="44"/>
      <c r="H372" s="189"/>
      <c r="I372" s="149">
        <f t="shared" si="10"/>
        <v>0</v>
      </c>
      <c r="J372" s="149">
        <f t="shared" si="11"/>
        <v>0</v>
      </c>
      <c r="K372" s="44"/>
      <c r="L372" s="220"/>
    </row>
    <row r="373" spans="2:12" s="46" customFormat="1" ht="19.5" customHeight="1">
      <c r="B373" s="56"/>
      <c r="C373" s="155">
        <f>IF(B373&lt;&gt;"",VLOOKUP(B373,'Tipo Projeto'!$A$3:$B$44,2,0),0)</f>
        <v>0</v>
      </c>
      <c r="D373" s="44"/>
      <c r="E373" s="44"/>
      <c r="F373" s="45"/>
      <c r="G373" s="44"/>
      <c r="H373" s="189"/>
      <c r="I373" s="149">
        <f t="shared" si="10"/>
        <v>0</v>
      </c>
      <c r="J373" s="149">
        <f t="shared" si="11"/>
        <v>0</v>
      </c>
      <c r="K373" s="44"/>
      <c r="L373" s="220"/>
    </row>
    <row r="374" spans="2:12" s="46" customFormat="1" ht="19.5" customHeight="1">
      <c r="B374" s="56"/>
      <c r="C374" s="155">
        <f>IF(B374&lt;&gt;"",VLOOKUP(B374,'Tipo Projeto'!$A$3:$B$44,2,0),0)</f>
        <v>0</v>
      </c>
      <c r="D374" s="44"/>
      <c r="E374" s="44"/>
      <c r="F374" s="45"/>
      <c r="G374" s="44"/>
      <c r="H374" s="189"/>
      <c r="I374" s="149">
        <f t="shared" si="10"/>
        <v>0</v>
      </c>
      <c r="J374" s="149">
        <f t="shared" si="11"/>
        <v>0</v>
      </c>
      <c r="K374" s="44"/>
      <c r="L374" s="220"/>
    </row>
    <row r="375" spans="2:12" s="46" customFormat="1" ht="19.5" customHeight="1">
      <c r="B375" s="56"/>
      <c r="C375" s="155">
        <f>IF(B375&lt;&gt;"",VLOOKUP(B375,'Tipo Projeto'!$A$3:$B$44,2,0),0)</f>
        <v>0</v>
      </c>
      <c r="D375" s="44"/>
      <c r="E375" s="44"/>
      <c r="F375" s="45"/>
      <c r="G375" s="44"/>
      <c r="H375" s="189"/>
      <c r="I375" s="149">
        <f t="shared" si="10"/>
        <v>0</v>
      </c>
      <c r="J375" s="149">
        <f t="shared" si="11"/>
        <v>0</v>
      </c>
      <c r="K375" s="44"/>
      <c r="L375" s="220"/>
    </row>
    <row r="376" spans="2:12" s="46" customFormat="1" ht="19.5" customHeight="1">
      <c r="B376" s="56"/>
      <c r="C376" s="155">
        <f>IF(B376&lt;&gt;"",VLOOKUP(B376,'Tipo Projeto'!$A$3:$B$44,2,0),0)</f>
        <v>0</v>
      </c>
      <c r="D376" s="44"/>
      <c r="E376" s="44"/>
      <c r="F376" s="45"/>
      <c r="G376" s="44"/>
      <c r="H376" s="189"/>
      <c r="I376" s="149">
        <f t="shared" si="10"/>
        <v>0</v>
      </c>
      <c r="J376" s="149">
        <f t="shared" si="11"/>
        <v>0</v>
      </c>
      <c r="K376" s="44"/>
      <c r="L376" s="220"/>
    </row>
    <row r="377" spans="2:12" s="46" customFormat="1" ht="19.5" customHeight="1">
      <c r="B377" s="56"/>
      <c r="C377" s="155">
        <f>IF(B377&lt;&gt;"",VLOOKUP(B377,'Tipo Projeto'!$A$3:$B$44,2,0),0)</f>
        <v>0</v>
      </c>
      <c r="D377" s="44"/>
      <c r="E377" s="44"/>
      <c r="F377" s="45"/>
      <c r="G377" s="44"/>
      <c r="H377" s="189"/>
      <c r="I377" s="149">
        <f t="shared" si="10"/>
        <v>0</v>
      </c>
      <c r="J377" s="149">
        <f t="shared" si="11"/>
        <v>0</v>
      </c>
      <c r="K377" s="44"/>
      <c r="L377" s="220"/>
    </row>
    <row r="378" spans="2:12" s="46" customFormat="1" ht="19.5" customHeight="1">
      <c r="B378" s="56"/>
      <c r="C378" s="155">
        <f>IF(B378&lt;&gt;"",VLOOKUP(B378,'Tipo Projeto'!$A$3:$B$44,2,0),0)</f>
        <v>0</v>
      </c>
      <c r="D378" s="44"/>
      <c r="E378" s="44"/>
      <c r="F378" s="45"/>
      <c r="G378" s="44"/>
      <c r="H378" s="189"/>
      <c r="I378" s="149">
        <f t="shared" si="10"/>
        <v>0</v>
      </c>
      <c r="J378" s="149">
        <f t="shared" si="11"/>
        <v>0</v>
      </c>
      <c r="K378" s="44"/>
      <c r="L378" s="220"/>
    </row>
    <row r="379" spans="2:12" s="46" customFormat="1" ht="19.5" customHeight="1">
      <c r="B379" s="56"/>
      <c r="C379" s="155">
        <f>IF(B379&lt;&gt;"",VLOOKUP(B379,'Tipo Projeto'!$A$3:$B$44,2,0),0)</f>
        <v>0</v>
      </c>
      <c r="D379" s="44"/>
      <c r="E379" s="44"/>
      <c r="F379" s="45"/>
      <c r="G379" s="44"/>
      <c r="H379" s="189"/>
      <c r="I379" s="149">
        <f t="shared" si="10"/>
        <v>0</v>
      </c>
      <c r="J379" s="149">
        <f t="shared" si="11"/>
        <v>0</v>
      </c>
      <c r="K379" s="44"/>
      <c r="L379" s="220"/>
    </row>
    <row r="380" spans="2:12" s="46" customFormat="1" ht="19.5" customHeight="1">
      <c r="B380" s="56"/>
      <c r="C380" s="155">
        <f>IF(B380&lt;&gt;"",VLOOKUP(B380,'Tipo Projeto'!$A$3:$B$44,2,0),0)</f>
        <v>0</v>
      </c>
      <c r="D380" s="44"/>
      <c r="E380" s="44"/>
      <c r="F380" s="45"/>
      <c r="G380" s="44"/>
      <c r="H380" s="189"/>
      <c r="I380" s="149">
        <f t="shared" si="10"/>
        <v>0</v>
      </c>
      <c r="J380" s="149">
        <f t="shared" si="11"/>
        <v>0</v>
      </c>
      <c r="K380" s="44"/>
      <c r="L380" s="220"/>
    </row>
    <row r="381" spans="2:12" s="46" customFormat="1" ht="19.5" customHeight="1">
      <c r="B381" s="56"/>
      <c r="C381" s="155">
        <f>IF(B381&lt;&gt;"",VLOOKUP(B381,'Tipo Projeto'!$A$3:$B$44,2,0),0)</f>
        <v>0</v>
      </c>
      <c r="D381" s="44"/>
      <c r="E381" s="44"/>
      <c r="F381" s="45"/>
      <c r="G381" s="44"/>
      <c r="H381" s="189"/>
      <c r="I381" s="149">
        <f t="shared" si="10"/>
        <v>0</v>
      </c>
      <c r="J381" s="149">
        <f t="shared" si="11"/>
        <v>0</v>
      </c>
      <c r="K381" s="44"/>
      <c r="L381" s="220"/>
    </row>
    <row r="382" spans="2:12" s="46" customFormat="1" ht="19.5" customHeight="1">
      <c r="B382" s="207"/>
      <c r="C382" s="208">
        <f>IF(B382&lt;&gt;"",VLOOKUP(B382,'Tipo Projeto'!$A$3:$B$44,2,0),0)</f>
        <v>0</v>
      </c>
      <c r="D382" s="209"/>
      <c r="E382" s="209"/>
      <c r="F382" s="210"/>
      <c r="G382" s="209"/>
      <c r="H382" s="211"/>
      <c r="I382" s="213">
        <f t="shared" si="10"/>
        <v>0</v>
      </c>
      <c r="J382" s="213">
        <f t="shared" si="11"/>
        <v>0</v>
      </c>
      <c r="K382" s="209"/>
      <c r="L382" s="220"/>
    </row>
    <row r="383" spans="2:12" s="46" customFormat="1" ht="14.25" customHeight="1">
      <c r="B383" s="276" t="s">
        <v>81</v>
      </c>
      <c r="C383" s="262"/>
      <c r="D383" s="262"/>
      <c r="E383" s="262"/>
      <c r="F383" s="262"/>
      <c r="G383" s="262"/>
      <c r="H383" s="262"/>
      <c r="I383" s="262"/>
      <c r="J383" s="262"/>
      <c r="K383" s="262"/>
      <c r="L383" s="263"/>
    </row>
    <row r="384" spans="2:12">
      <c r="D384" s="49"/>
      <c r="E384" s="49"/>
      <c r="F384" s="317" t="s">
        <v>91</v>
      </c>
      <c r="G384" s="267"/>
      <c r="H384" s="283"/>
      <c r="I384" s="198">
        <f>SUM(I11:I382)</f>
        <v>0</v>
      </c>
      <c r="J384" s="199">
        <f>SUM(J10:J383)</f>
        <v>0</v>
      </c>
    </row>
    <row r="385" spans="2:12" ht="12.75" customHeight="1">
      <c r="F385" s="316" t="s">
        <v>92</v>
      </c>
      <c r="G385" s="295"/>
      <c r="H385" s="296"/>
      <c r="I385" s="201">
        <f>SUMIF(G10:G382,"INM",I10:I382)</f>
        <v>0</v>
      </c>
      <c r="J385" s="202">
        <f>SUMIF(G10:G382,"INM",J10:J382)</f>
        <v>0</v>
      </c>
    </row>
    <row r="394" spans="2:12" s="34" customFormat="1">
      <c r="B394" s="21"/>
      <c r="C394" s="21"/>
      <c r="D394" s="51"/>
      <c r="E394" s="51"/>
      <c r="F394" s="52"/>
      <c r="J394" s="21"/>
      <c r="K394" s="21"/>
      <c r="L394" s="21"/>
    </row>
    <row r="395" spans="2:12" s="34" customFormat="1">
      <c r="B395" s="21"/>
      <c r="C395" s="21"/>
      <c r="D395" s="51"/>
      <c r="E395" s="51"/>
      <c r="F395" s="52"/>
      <c r="J395" s="21"/>
      <c r="K395" s="21"/>
      <c r="L395" s="21"/>
    </row>
  </sheetData>
  <mergeCells count="23">
    <mergeCell ref="F385:H385"/>
    <mergeCell ref="C8:C9"/>
    <mergeCell ref="G8:J8"/>
    <mergeCell ref="K8:K9"/>
    <mergeCell ref="D8:D9"/>
    <mergeCell ref="B10:L10"/>
    <mergeCell ref="B383:L383"/>
    <mergeCell ref="F384:H384"/>
    <mergeCell ref="C1:K1"/>
    <mergeCell ref="E8:E9"/>
    <mergeCell ref="G4:J4"/>
    <mergeCell ref="K5:L5"/>
    <mergeCell ref="B8:B9"/>
    <mergeCell ref="K4:L4"/>
    <mergeCell ref="F8:F9"/>
    <mergeCell ref="L8:L9"/>
    <mergeCell ref="B5:B6"/>
    <mergeCell ref="G6:J6"/>
    <mergeCell ref="G3:J3"/>
    <mergeCell ref="C5:C6"/>
    <mergeCell ref="K6:L6"/>
    <mergeCell ref="G5:J5"/>
    <mergeCell ref="K3:L3"/>
  </mergeCells>
  <conditionalFormatting sqref="G11:H382">
    <cfRule type="cellIs" priority="58" stopIfTrue="1" operator="between">
      <formula>"Desenvolvimento"</formula>
      <formula>"Manutenção"</formula>
    </cfRule>
  </conditionalFormatting>
  <conditionalFormatting sqref="H11:H382">
    <cfRule type="expression" dxfId="7" priority="1">
      <formula>G11="INM"</formula>
    </cfRule>
  </conditionalFormatting>
  <dataValidations count="3">
    <dataValidation type="list" allowBlank="1" showInputMessage="1" showErrorMessage="1" errorTitle="Erro" error="Selecione uma das opções apresentada" sqref="G11:G382" xr:uid="{00000000-0002-0000-0300-000000000000}">
      <formula1>"-------,EE,SE,CE,ALI,AIE,INM"</formula1>
    </dataValidation>
    <dataValidation type="list" allowBlank="1" showInputMessage="1" showErrorMessage="1" sqref="B11:B382" xr:uid="{00000000-0002-0000-0300-000001000000}">
      <formula1>TipoProjeto</formula1>
    </dataValidation>
    <dataValidation allowBlank="1" showInputMessage="1" showErrorMessage="1" errorTitle="Erro" error="Selecione uma das opções apresentada" sqref="H11:I382" xr:uid="{00000000-0002-0000-0300-000002000000}"/>
  </dataValidations>
  <pageMargins left="0.19685039370078741" right="0.19685039370078741" top="0.33" bottom="0.43" header="0.18" footer="0.27559055118110237"/>
  <pageSetup paperSize="9" scale="78" fitToHeight="10"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W399"/>
  <sheetViews>
    <sheetView showGridLines="0" zoomScaleNormal="100" workbookViewId="0"/>
  </sheetViews>
  <sheetFormatPr baseColWidth="10" defaultColWidth="8.83203125" defaultRowHeight="13"/>
  <cols>
    <col min="1" max="1" width="5.5" style="34" customWidth="1"/>
    <col min="2" max="2" width="37.1640625" style="21" customWidth="1"/>
    <col min="3" max="3" width="8.1640625" style="21" customWidth="1"/>
    <col min="4" max="4" width="7.5" style="53" customWidth="1"/>
    <col min="5" max="5" width="9.5" style="53" customWidth="1"/>
    <col min="6" max="6" width="11.5" style="53" customWidth="1"/>
    <col min="7" max="7" width="16.1640625" style="53" customWidth="1"/>
    <col min="8" max="8" width="38.1640625" style="54" customWidth="1"/>
    <col min="9" max="9" width="6.1640625" style="34" hidden="1" customWidth="1"/>
    <col min="10" max="11" width="8.1640625" style="34" customWidth="1"/>
    <col min="12" max="12" width="7.83203125" style="34" customWidth="1"/>
    <col min="13" max="13" width="12.1640625" style="34" bestFit="1" customWidth="1"/>
    <col min="14" max="15" width="15.5" style="21" hidden="1" customWidth="1"/>
    <col min="16" max="16" width="15.1640625" style="34" customWidth="1"/>
    <col min="17" max="18" width="16.5" style="21" hidden="1" customWidth="1"/>
    <col min="19" max="19" width="8.1640625" style="21" customWidth="1"/>
    <col min="20" max="20" width="50.1640625" style="21" customWidth="1"/>
    <col min="21" max="22" width="9.1640625" style="21" customWidth="1"/>
    <col min="23" max="23" width="9.5" style="21" customWidth="1"/>
    <col min="24" max="32" width="9.1640625" style="21" customWidth="1"/>
    <col min="33" max="34" width="8.83203125" style="21" customWidth="1"/>
    <col min="35" max="16384" width="8.83203125" style="21"/>
  </cols>
  <sheetData>
    <row r="1" spans="1:20" ht="69" customHeight="1">
      <c r="A1" s="18"/>
      <c r="B1" s="20"/>
      <c r="C1" s="266" t="s">
        <v>93</v>
      </c>
      <c r="D1" s="267"/>
      <c r="E1" s="267"/>
      <c r="F1" s="267"/>
      <c r="G1" s="267"/>
      <c r="H1" s="267"/>
      <c r="I1" s="267"/>
      <c r="J1" s="267"/>
      <c r="K1" s="267"/>
      <c r="L1" s="267"/>
      <c r="M1" s="267"/>
      <c r="N1" s="267"/>
      <c r="O1" s="267"/>
      <c r="P1" s="267"/>
      <c r="Q1" s="267"/>
      <c r="R1" s="267"/>
      <c r="S1" s="267"/>
      <c r="T1" s="267"/>
    </row>
    <row r="2" spans="1:20" ht="9" customHeight="1">
      <c r="A2" s="22"/>
      <c r="B2" s="22"/>
      <c r="C2" s="23"/>
      <c r="D2" s="23"/>
      <c r="E2" s="23"/>
      <c r="F2" s="23"/>
      <c r="G2" s="23"/>
      <c r="H2" s="23"/>
      <c r="I2" s="23"/>
      <c r="J2" s="23"/>
      <c r="K2" s="23"/>
      <c r="L2" s="23"/>
      <c r="M2" s="23"/>
      <c r="N2" s="23"/>
      <c r="O2" s="23"/>
      <c r="P2" s="23"/>
      <c r="Q2" s="23"/>
      <c r="R2" s="23"/>
      <c r="S2" s="23"/>
      <c r="T2" s="23"/>
    </row>
    <row r="3" spans="1:20" ht="18.5" customHeight="1">
      <c r="A3" s="21"/>
      <c r="B3" s="24"/>
      <c r="C3" s="23"/>
      <c r="D3" s="23"/>
      <c r="E3" s="23"/>
      <c r="F3" s="23"/>
      <c r="G3" s="23"/>
      <c r="H3" s="23"/>
      <c r="I3" s="23"/>
      <c r="J3" s="23"/>
      <c r="K3" s="268" t="s">
        <v>12</v>
      </c>
      <c r="L3" s="262"/>
      <c r="M3" s="263"/>
      <c r="N3" s="25"/>
      <c r="O3" s="25"/>
      <c r="P3" s="326"/>
      <c r="Q3" s="262"/>
      <c r="R3" s="262"/>
      <c r="S3" s="262"/>
      <c r="T3" s="263"/>
    </row>
    <row r="4" spans="1:20" ht="18.5" customHeight="1">
      <c r="A4" s="21"/>
      <c r="B4" s="24"/>
      <c r="C4" s="23"/>
      <c r="D4" s="23"/>
      <c r="E4" s="23"/>
      <c r="F4" s="23"/>
      <c r="G4" s="23"/>
      <c r="H4" s="23"/>
      <c r="I4" s="23"/>
      <c r="J4" s="23"/>
      <c r="K4" s="268" t="s">
        <v>14</v>
      </c>
      <c r="L4" s="262"/>
      <c r="M4" s="263"/>
      <c r="N4" s="25"/>
      <c r="O4" s="25"/>
      <c r="P4" s="318"/>
      <c r="Q4" s="262"/>
      <c r="R4" s="262"/>
      <c r="S4" s="262"/>
      <c r="T4" s="263"/>
    </row>
    <row r="5" spans="1:20" ht="18.5" customHeight="1">
      <c r="A5" s="268" t="s">
        <v>86</v>
      </c>
      <c r="B5" s="278"/>
      <c r="C5" s="279"/>
      <c r="D5" s="320" t="str">
        <f>TEXT(S385,"#.##0,0#")</f>
        <v>0,0</v>
      </c>
      <c r="E5" s="321"/>
      <c r="F5" s="23"/>
      <c r="G5" s="23"/>
      <c r="H5" s="23"/>
      <c r="I5" s="23"/>
      <c r="J5" s="23"/>
      <c r="K5" s="268" t="s">
        <v>15</v>
      </c>
      <c r="L5" s="262"/>
      <c r="M5" s="263"/>
      <c r="N5" s="25"/>
      <c r="O5" s="25"/>
      <c r="P5" s="326"/>
      <c r="Q5" s="262"/>
      <c r="R5" s="262"/>
      <c r="S5" s="262"/>
      <c r="T5" s="263"/>
    </row>
    <row r="6" spans="1:20" ht="18.5" customHeight="1">
      <c r="A6" s="282"/>
      <c r="B6" s="267"/>
      <c r="C6" s="283"/>
      <c r="D6" s="322"/>
      <c r="E6" s="323"/>
      <c r="F6" s="23"/>
      <c r="G6" s="23"/>
      <c r="H6" s="23"/>
      <c r="I6" s="23"/>
      <c r="J6" s="23"/>
      <c r="K6" s="268" t="s">
        <v>16</v>
      </c>
      <c r="L6" s="262"/>
      <c r="M6" s="263"/>
      <c r="N6" s="25"/>
      <c r="O6" s="25"/>
      <c r="P6" s="318"/>
      <c r="Q6" s="262"/>
      <c r="R6" s="262"/>
      <c r="S6" s="262"/>
      <c r="T6" s="263"/>
    </row>
    <row r="7" spans="1:20" ht="9" customHeight="1">
      <c r="A7" s="319"/>
      <c r="B7" s="267"/>
      <c r="C7" s="267"/>
      <c r="D7" s="267"/>
      <c r="E7" s="267"/>
      <c r="F7" s="267"/>
      <c r="G7" s="267"/>
      <c r="H7" s="267"/>
      <c r="I7" s="267"/>
      <c r="J7" s="267"/>
      <c r="K7" s="267"/>
      <c r="L7" s="267"/>
      <c r="M7" s="267"/>
      <c r="N7" s="267"/>
      <c r="O7" s="267"/>
      <c r="P7" s="267"/>
      <c r="Q7" s="267"/>
      <c r="R7" s="267"/>
      <c r="S7" s="267"/>
      <c r="T7" s="267"/>
    </row>
    <row r="8" spans="1:20" s="42" customFormat="1" ht="18.5" customHeight="1">
      <c r="A8" s="324" t="s">
        <v>94</v>
      </c>
      <c r="B8" s="258" t="s">
        <v>47</v>
      </c>
      <c r="C8" s="258" t="s">
        <v>48</v>
      </c>
      <c r="D8" s="258" t="s">
        <v>95</v>
      </c>
      <c r="E8" s="265" t="s">
        <v>96</v>
      </c>
      <c r="F8" s="258" t="s">
        <v>49</v>
      </c>
      <c r="G8" s="258" t="s">
        <v>50</v>
      </c>
      <c r="H8" s="258" t="s">
        <v>51</v>
      </c>
      <c r="I8" s="153"/>
      <c r="J8" s="259" t="s">
        <v>97</v>
      </c>
      <c r="K8" s="262"/>
      <c r="L8" s="262"/>
      <c r="M8" s="262"/>
      <c r="N8" s="262"/>
      <c r="O8" s="262"/>
      <c r="P8" s="262"/>
      <c r="Q8" s="262"/>
      <c r="R8" s="262"/>
      <c r="S8" s="263"/>
      <c r="T8" s="259" t="s">
        <v>98</v>
      </c>
    </row>
    <row r="9" spans="1:20" s="43" customFormat="1" ht="15.75" customHeight="1">
      <c r="A9" s="257"/>
      <c r="B9" s="257"/>
      <c r="C9" s="257"/>
      <c r="D9" s="257"/>
      <c r="E9" s="257"/>
      <c r="F9" s="257"/>
      <c r="G9" s="257"/>
      <c r="H9" s="257"/>
      <c r="I9" s="154" t="s">
        <v>52</v>
      </c>
      <c r="J9" s="154" t="s">
        <v>99</v>
      </c>
      <c r="K9" s="154" t="s">
        <v>100</v>
      </c>
      <c r="L9" s="154" t="s">
        <v>101</v>
      </c>
      <c r="M9" s="35" t="s">
        <v>52</v>
      </c>
      <c r="N9" s="35" t="s">
        <v>69</v>
      </c>
      <c r="O9" s="35" t="s">
        <v>70</v>
      </c>
      <c r="P9" s="35" t="s">
        <v>56</v>
      </c>
      <c r="Q9" s="35" t="s">
        <v>71</v>
      </c>
      <c r="R9" s="35" t="s">
        <v>72</v>
      </c>
      <c r="S9" s="35" t="s">
        <v>62</v>
      </c>
      <c r="T9" s="257"/>
    </row>
    <row r="10" spans="1:20" s="46" customFormat="1" ht="14.25" customHeight="1">
      <c r="A10" s="325" t="s">
        <v>90</v>
      </c>
      <c r="B10" s="262"/>
      <c r="C10" s="262"/>
      <c r="D10" s="262"/>
      <c r="E10" s="262"/>
      <c r="F10" s="262"/>
      <c r="G10" s="262"/>
      <c r="H10" s="262"/>
      <c r="I10" s="262"/>
      <c r="J10" s="262"/>
      <c r="K10" s="262"/>
      <c r="L10" s="262"/>
      <c r="M10" s="262"/>
      <c r="N10" s="262"/>
      <c r="O10" s="262"/>
      <c r="P10" s="262"/>
      <c r="Q10" s="262"/>
      <c r="R10" s="262"/>
      <c r="S10" s="262"/>
      <c r="T10" s="263"/>
    </row>
    <row r="11" spans="1:20" s="46" customFormat="1" ht="14.25" customHeight="1">
      <c r="A11" s="38"/>
      <c r="B11" s="56"/>
      <c r="C11" s="155">
        <f>IF($B11&lt;&gt;"",VLOOKUP($B11,Matriz_INM,2,0),0)</f>
        <v>0</v>
      </c>
      <c r="D11" s="44"/>
      <c r="E11" s="44"/>
      <c r="F11" s="44"/>
      <c r="G11" s="44"/>
      <c r="H11" s="45"/>
      <c r="I11" s="156" t="str">
        <f>IFERROR(VLOOKUP($B11,Matriz_INM,3,0),"")</f>
        <v/>
      </c>
      <c r="J11" s="57"/>
      <c r="K11" s="57"/>
      <c r="L11" s="57"/>
      <c r="M11" s="44"/>
      <c r="N11" s="45" t="str">
        <f t="shared" ref="N11:N74" si="0">IF(M11="EE",IF(OR(AND(OR(L11=1,L11=0),K11&gt;0,K11&lt;5),AND(OR(L11=1,L11=0),K11&gt;4,K11&lt;16),AND(L11=2,K11&gt;0,K11&lt;5)),"Simples",IF(OR(AND(OR(L11=1,L11=0),K11&gt;15),AND(L11=2,K11&gt;4,K11&lt;16),AND(L11&gt;2,K11&gt;0,K11&lt;5)),"Médio",IF(OR(AND(L11=2,K11&gt;15),AND(L11&gt;2,K11&gt;4,K11&lt;16),AND(L11&gt;2,K11&gt;15)),"Complexo",""))),
IF(OR(M11="CE",M11="SE"),IF(OR(AND(OR(L11=1,L11=0),K11&gt;0,K11&lt;6),AND(OR(L11=1,L11=0),K11&gt;5,K11&lt;20),AND(L11&gt;1,L11&lt;4,K11&gt;0,K11&lt;6)),"Simples",IF(OR(AND(OR(L11=1,L11=0),K11&gt;19),AND(L11&gt;1,L11&lt;4,K11&gt;5,K11&lt;20),AND(L11&gt;3,K11&gt;0,K11&lt;6)),"Médio",IF(OR(AND(L11&gt;1,L11&lt;4,K11&gt;19),AND(L11&gt;3,K11&gt;5,K11&lt;20),AND(L11&gt;3,K11&gt;19)),"Complexo",""))),""))</f>
        <v/>
      </c>
      <c r="O11" s="45" t="str">
        <f t="shared" ref="O11:O74" si="1">IF(M11="ALI",IF(OR(AND(OR(L11=1,L11=0),K11&gt;0,K11&lt;20),AND(OR(L11=1,L11=0),K11&gt;19,K11&lt;51),AND(L11&gt;1,L11&lt;6,K11&gt;0,K11&lt;20)),"Simples",IF(OR(AND(OR(L11=1,L11=0),K11&gt;50),AND(L11&gt;1,L11&lt;6,K11&gt;19,K11&lt;51),AND(L11&gt;5,K11&gt;0,K11&lt;20)),"Médio",IF(OR(AND(L11&gt;1,L11&lt;6,K11&gt;50),AND(L11&gt;5,K11&gt;19,K11&lt;51),AND(L11&gt;5,K11&gt;50)),"Complexo",""))),
IF(M11="AIE",IF(OR(AND(OR(L11=1, L11=0),K11&gt;0,K11&lt;20),AND(OR(L11=1, L11=0),K11&gt;19,K11&lt;51),AND(L11&gt;1,L11&lt;6,K11&gt;0,K11&lt;20)),"Simples",IF(OR(AND(OR(L11=1, L11=0),K11&gt;50),AND(L11&gt;1,L11&lt;6,K11&gt;19,K11&lt;51),AND(L11&gt;5,K11&gt;0,K11&lt;20)),"Médio",IF(OR(AND(L11&gt;1,L11&lt;6,K11&gt;50),AND(L11&gt;5,K11&gt;19,K11&lt;51),AND(L11&gt;5,K11&gt;50)),"Complexo",""))),""))</f>
        <v/>
      </c>
      <c r="P11" s="149" t="str">
        <f t="shared" ref="P11:P74" si="2">IF(N11="",O11,IF(O11="",N11,""))</f>
        <v/>
      </c>
      <c r="Q11" s="157">
        <f t="shared" ref="Q11:Q74" si="3">IF(AND(OR(M11="EE",M11="CE"),P11="Simples"),3,
IF(AND(OR(M11="EE",M11="CE"),P11="Médio"),4,
IF(AND(OR(M11="EE",M11="CE"),P11="Complexo"),6,
IF(AND(M11="SE",P11="Simples"),4,
IF(AND(M11="SE",P11="Médio"),5,
IF(AND(M11="SE",P11="Complexo"),7,0))))))</f>
        <v>0</v>
      </c>
      <c r="R11" s="157">
        <f t="shared" ref="R11:R74" si="4">IF(AND(M11="ALI",O11="Simples"),7,
IF(AND(M11="ALI",O11="Médio"),10,
IF(AND(M11="ALI",O11="Complexo"),15,
IF(AND(M11="AIE",O11="Simples"),5,
IF(AND(M11="AIE",O11="Médio"),7,
IF(AND(M11="AIE",O11="Complexo"),10,0))))))</f>
        <v>0</v>
      </c>
      <c r="S11" s="149">
        <f>IF($I11="%",($Q11+$R11)*$C11,$C11*J11)</f>
        <v>0</v>
      </c>
      <c r="T11" s="44"/>
    </row>
    <row r="12" spans="1:20" s="46" customFormat="1" ht="14.25" customHeight="1">
      <c r="A12" s="38"/>
      <c r="B12" s="56"/>
      <c r="C12" s="155">
        <f>IF($B12&lt;&gt;"",VLOOKUP($B12,Matriz_INM,2,0),0)</f>
        <v>0</v>
      </c>
      <c r="D12" s="44"/>
      <c r="E12" s="44"/>
      <c r="F12" s="44"/>
      <c r="G12" s="44"/>
      <c r="H12" s="45"/>
      <c r="I12" s="156" t="str">
        <f>IFERROR(VLOOKUP($B12,Matriz_INM,3,0),"")</f>
        <v/>
      </c>
      <c r="J12" s="57"/>
      <c r="K12" s="57"/>
      <c r="L12" s="57"/>
      <c r="M12" s="44"/>
      <c r="N12" s="45" t="str">
        <f t="shared" si="0"/>
        <v/>
      </c>
      <c r="O12" s="45" t="str">
        <f t="shared" si="1"/>
        <v/>
      </c>
      <c r="P12" s="149" t="str">
        <f t="shared" si="2"/>
        <v/>
      </c>
      <c r="Q12" s="157">
        <f t="shared" si="3"/>
        <v>0</v>
      </c>
      <c r="R12" s="157">
        <f t="shared" si="4"/>
        <v>0</v>
      </c>
      <c r="S12" s="149">
        <f t="shared" ref="S12:S75" si="5">IF($I12="%",($Q12+$R12)*$C12,$C12)</f>
        <v>0</v>
      </c>
      <c r="T12" s="44"/>
    </row>
    <row r="13" spans="1:20" s="46" customFormat="1" ht="14.25" customHeight="1">
      <c r="A13" s="38"/>
      <c r="B13" s="56"/>
      <c r="C13" s="155">
        <f>IF($B13&lt;&gt;"",VLOOKUP($B13,Matriz_INM,2,0),0)</f>
        <v>0</v>
      </c>
      <c r="D13" s="44"/>
      <c r="E13" s="44"/>
      <c r="F13" s="44"/>
      <c r="G13" s="44"/>
      <c r="H13" s="45"/>
      <c r="I13" s="156" t="str">
        <f>IFERROR(VLOOKUP($B13,Matriz_INM,3,0),"")</f>
        <v/>
      </c>
      <c r="J13" s="57"/>
      <c r="K13" s="57"/>
      <c r="L13" s="57"/>
      <c r="M13" s="44"/>
      <c r="N13" s="45" t="str">
        <f t="shared" si="0"/>
        <v/>
      </c>
      <c r="O13" s="45" t="str">
        <f t="shared" si="1"/>
        <v/>
      </c>
      <c r="P13" s="149" t="str">
        <f t="shared" si="2"/>
        <v/>
      </c>
      <c r="Q13" s="157">
        <f t="shared" si="3"/>
        <v>0</v>
      </c>
      <c r="R13" s="157">
        <f t="shared" si="4"/>
        <v>0</v>
      </c>
      <c r="S13" s="149">
        <f t="shared" si="5"/>
        <v>0</v>
      </c>
      <c r="T13" s="44"/>
    </row>
    <row r="14" spans="1:20" s="46" customFormat="1" ht="14.25" customHeight="1">
      <c r="A14" s="38"/>
      <c r="B14" s="56"/>
      <c r="C14" s="155">
        <f>IF($B14&lt;&gt;"",VLOOKUP($B14,Matriz_INM,2,0),0)</f>
        <v>0</v>
      </c>
      <c r="D14" s="44"/>
      <c r="E14" s="44"/>
      <c r="F14" s="44"/>
      <c r="G14" s="44"/>
      <c r="H14" s="45"/>
      <c r="I14" s="156" t="str">
        <f>IFERROR(VLOOKUP($B14,Matriz_INM,3,0),"")</f>
        <v/>
      </c>
      <c r="J14" s="57"/>
      <c r="K14" s="57"/>
      <c r="L14" s="57"/>
      <c r="M14" s="44"/>
      <c r="N14" s="45" t="str">
        <f t="shared" si="0"/>
        <v/>
      </c>
      <c r="O14" s="45" t="str">
        <f t="shared" si="1"/>
        <v/>
      </c>
      <c r="P14" s="149" t="str">
        <f t="shared" si="2"/>
        <v/>
      </c>
      <c r="Q14" s="157">
        <f t="shared" si="3"/>
        <v>0</v>
      </c>
      <c r="R14" s="157">
        <f t="shared" si="4"/>
        <v>0</v>
      </c>
      <c r="S14" s="149">
        <f t="shared" si="5"/>
        <v>0</v>
      </c>
      <c r="T14" s="44"/>
    </row>
    <row r="15" spans="1:20" s="46" customFormat="1" ht="14.25" customHeight="1">
      <c r="A15" s="38"/>
      <c r="B15" s="56"/>
      <c r="C15" s="155">
        <f>IF($B15&lt;&gt;"",VLOOKUP($B15,Matriz_INM,2,0),0)</f>
        <v>0</v>
      </c>
      <c r="D15" s="44"/>
      <c r="E15" s="44"/>
      <c r="F15" s="44"/>
      <c r="G15" s="44"/>
      <c r="H15" s="45"/>
      <c r="I15" s="156" t="str">
        <f>IFERROR(VLOOKUP($B15,Matriz_INM,3,0),"")</f>
        <v/>
      </c>
      <c r="J15" s="57"/>
      <c r="K15" s="57"/>
      <c r="L15" s="57"/>
      <c r="M15" s="44"/>
      <c r="N15" s="45" t="str">
        <f t="shared" si="0"/>
        <v/>
      </c>
      <c r="O15" s="45" t="str">
        <f t="shared" si="1"/>
        <v/>
      </c>
      <c r="P15" s="149" t="str">
        <f t="shared" si="2"/>
        <v/>
      </c>
      <c r="Q15" s="157">
        <f t="shared" si="3"/>
        <v>0</v>
      </c>
      <c r="R15" s="157">
        <f t="shared" si="4"/>
        <v>0</v>
      </c>
      <c r="S15" s="149">
        <f t="shared" si="5"/>
        <v>0</v>
      </c>
      <c r="T15" s="44"/>
    </row>
    <row r="16" spans="1:20" s="46" customFormat="1" ht="14.25" customHeight="1">
      <c r="A16" s="38"/>
      <c r="B16" s="56"/>
      <c r="C16" s="155">
        <f>IF($B16&lt;&gt;"",VLOOKUP($B16,Matriz_INM,2,0),0)</f>
        <v>0</v>
      </c>
      <c r="D16" s="44"/>
      <c r="E16" s="44"/>
      <c r="F16" s="44"/>
      <c r="G16" s="44"/>
      <c r="H16" s="45"/>
      <c r="I16" s="156" t="str">
        <f>IFERROR(VLOOKUP($B16,Matriz_INM,3,0),"")</f>
        <v/>
      </c>
      <c r="J16" s="57"/>
      <c r="K16" s="57"/>
      <c r="L16" s="57"/>
      <c r="M16" s="44"/>
      <c r="N16" s="45" t="str">
        <f t="shared" si="0"/>
        <v/>
      </c>
      <c r="O16" s="45" t="str">
        <f t="shared" si="1"/>
        <v/>
      </c>
      <c r="P16" s="149" t="str">
        <f t="shared" si="2"/>
        <v/>
      </c>
      <c r="Q16" s="157">
        <f t="shared" si="3"/>
        <v>0</v>
      </c>
      <c r="R16" s="157">
        <f t="shared" si="4"/>
        <v>0</v>
      </c>
      <c r="S16" s="149">
        <f t="shared" si="5"/>
        <v>0</v>
      </c>
      <c r="T16" s="44"/>
    </row>
    <row r="17" spans="1:20" s="46" customFormat="1" ht="14.25" customHeight="1">
      <c r="A17" s="38"/>
      <c r="B17" s="56"/>
      <c r="C17" s="155">
        <f>IF($B17&lt;&gt;"",VLOOKUP($B17,Matriz_INM,2,0),0)</f>
        <v>0</v>
      </c>
      <c r="D17" s="44"/>
      <c r="E17" s="44"/>
      <c r="F17" s="44"/>
      <c r="G17" s="44"/>
      <c r="H17" s="45"/>
      <c r="I17" s="156" t="str">
        <f>IFERROR(VLOOKUP($B17,Matriz_INM,3,0),"")</f>
        <v/>
      </c>
      <c r="J17" s="57"/>
      <c r="K17" s="57"/>
      <c r="L17" s="57"/>
      <c r="M17" s="44"/>
      <c r="N17" s="45" t="str">
        <f t="shared" si="0"/>
        <v/>
      </c>
      <c r="O17" s="45" t="str">
        <f t="shared" si="1"/>
        <v/>
      </c>
      <c r="P17" s="149" t="str">
        <f t="shared" si="2"/>
        <v/>
      </c>
      <c r="Q17" s="157">
        <f t="shared" si="3"/>
        <v>0</v>
      </c>
      <c r="R17" s="157">
        <f t="shared" si="4"/>
        <v>0</v>
      </c>
      <c r="S17" s="149">
        <f t="shared" si="5"/>
        <v>0</v>
      </c>
      <c r="T17" s="44"/>
    </row>
    <row r="18" spans="1:20" s="46" customFormat="1" ht="14.25" customHeight="1">
      <c r="A18" s="38"/>
      <c r="B18" s="56"/>
      <c r="C18" s="155">
        <f>IF($B18&lt;&gt;"",VLOOKUP($B18,Matriz_INM,2,0),0)</f>
        <v>0</v>
      </c>
      <c r="D18" s="44"/>
      <c r="E18" s="44"/>
      <c r="F18" s="44"/>
      <c r="G18" s="44"/>
      <c r="H18" s="45"/>
      <c r="I18" s="156" t="str">
        <f>IFERROR(VLOOKUP($B18,Matriz_INM,3,0),"")</f>
        <v/>
      </c>
      <c r="J18" s="57"/>
      <c r="K18" s="57"/>
      <c r="L18" s="57"/>
      <c r="M18" s="44"/>
      <c r="N18" s="45" t="str">
        <f t="shared" si="0"/>
        <v/>
      </c>
      <c r="O18" s="45" t="str">
        <f t="shared" si="1"/>
        <v/>
      </c>
      <c r="P18" s="149" t="str">
        <f t="shared" si="2"/>
        <v/>
      </c>
      <c r="Q18" s="157">
        <f t="shared" si="3"/>
        <v>0</v>
      </c>
      <c r="R18" s="157">
        <f t="shared" si="4"/>
        <v>0</v>
      </c>
      <c r="S18" s="149">
        <f t="shared" si="5"/>
        <v>0</v>
      </c>
      <c r="T18" s="44"/>
    </row>
    <row r="19" spans="1:20" s="46" customFormat="1" ht="14.25" customHeight="1">
      <c r="A19" s="38"/>
      <c r="B19" s="56"/>
      <c r="C19" s="155">
        <f>IF($B19&lt;&gt;"",VLOOKUP($B19,Matriz_INM,2,0),0)</f>
        <v>0</v>
      </c>
      <c r="D19" s="44"/>
      <c r="E19" s="44"/>
      <c r="F19" s="44"/>
      <c r="G19" s="44"/>
      <c r="H19" s="45"/>
      <c r="I19" s="156" t="str">
        <f>IFERROR(VLOOKUP($B19,Matriz_INM,3,0),"")</f>
        <v/>
      </c>
      <c r="J19" s="57"/>
      <c r="K19" s="57"/>
      <c r="L19" s="57"/>
      <c r="M19" s="44"/>
      <c r="N19" s="45" t="str">
        <f t="shared" si="0"/>
        <v/>
      </c>
      <c r="O19" s="45" t="str">
        <f t="shared" si="1"/>
        <v/>
      </c>
      <c r="P19" s="149" t="str">
        <f t="shared" si="2"/>
        <v/>
      </c>
      <c r="Q19" s="157">
        <f t="shared" si="3"/>
        <v>0</v>
      </c>
      <c r="R19" s="157">
        <f t="shared" si="4"/>
        <v>0</v>
      </c>
      <c r="S19" s="149">
        <f t="shared" si="5"/>
        <v>0</v>
      </c>
      <c r="T19" s="44"/>
    </row>
    <row r="20" spans="1:20" s="46" customFormat="1" ht="14.25" customHeight="1">
      <c r="A20" s="38"/>
      <c r="B20" s="56"/>
      <c r="C20" s="155">
        <f>IF($B20&lt;&gt;"",VLOOKUP($B20,Matriz_INM,2,0),0)</f>
        <v>0</v>
      </c>
      <c r="D20" s="44"/>
      <c r="E20" s="44"/>
      <c r="F20" s="44"/>
      <c r="G20" s="44"/>
      <c r="H20" s="45"/>
      <c r="I20" s="156" t="str">
        <f>IFERROR(VLOOKUP($B20,Matriz_INM,3,0),"")</f>
        <v/>
      </c>
      <c r="J20" s="57"/>
      <c r="K20" s="57"/>
      <c r="L20" s="57"/>
      <c r="M20" s="44"/>
      <c r="N20" s="45" t="str">
        <f t="shared" si="0"/>
        <v/>
      </c>
      <c r="O20" s="45" t="str">
        <f t="shared" si="1"/>
        <v/>
      </c>
      <c r="P20" s="149" t="str">
        <f t="shared" si="2"/>
        <v/>
      </c>
      <c r="Q20" s="157">
        <f t="shared" si="3"/>
        <v>0</v>
      </c>
      <c r="R20" s="157">
        <f t="shared" si="4"/>
        <v>0</v>
      </c>
      <c r="S20" s="149">
        <f t="shared" si="5"/>
        <v>0</v>
      </c>
      <c r="T20" s="44"/>
    </row>
    <row r="21" spans="1:20" s="46" customFormat="1" ht="14.25" customHeight="1">
      <c r="A21" s="38"/>
      <c r="B21" s="56"/>
      <c r="C21" s="155">
        <f>IF($B21&lt;&gt;"",VLOOKUP($B21,Matriz_INM,2,0),0)</f>
        <v>0</v>
      </c>
      <c r="D21" s="44"/>
      <c r="E21" s="44"/>
      <c r="F21" s="44"/>
      <c r="G21" s="44"/>
      <c r="H21" s="45"/>
      <c r="I21" s="156" t="str">
        <f>IFERROR(VLOOKUP($B21,Matriz_INM,3,0),"")</f>
        <v/>
      </c>
      <c r="J21" s="57"/>
      <c r="K21" s="57"/>
      <c r="L21" s="57"/>
      <c r="M21" s="44"/>
      <c r="N21" s="45" t="str">
        <f t="shared" si="0"/>
        <v/>
      </c>
      <c r="O21" s="45" t="str">
        <f t="shared" si="1"/>
        <v/>
      </c>
      <c r="P21" s="149" t="str">
        <f t="shared" si="2"/>
        <v/>
      </c>
      <c r="Q21" s="157">
        <f t="shared" si="3"/>
        <v>0</v>
      </c>
      <c r="R21" s="157">
        <f t="shared" si="4"/>
        <v>0</v>
      </c>
      <c r="S21" s="149">
        <f t="shared" si="5"/>
        <v>0</v>
      </c>
      <c r="T21" s="44"/>
    </row>
    <row r="22" spans="1:20" s="46" customFormat="1" ht="14.25" customHeight="1">
      <c r="A22" s="38"/>
      <c r="B22" s="56"/>
      <c r="C22" s="155">
        <f>IF($B22&lt;&gt;"",VLOOKUP($B22,Matriz_INM,2,0),0)</f>
        <v>0</v>
      </c>
      <c r="D22" s="44"/>
      <c r="E22" s="44"/>
      <c r="F22" s="44"/>
      <c r="G22" s="44"/>
      <c r="H22" s="45"/>
      <c r="I22" s="156" t="str">
        <f>IFERROR(VLOOKUP($B22,Matriz_INM,3,0),"")</f>
        <v/>
      </c>
      <c r="J22" s="57"/>
      <c r="K22" s="57"/>
      <c r="L22" s="57"/>
      <c r="M22" s="44"/>
      <c r="N22" s="45" t="str">
        <f t="shared" si="0"/>
        <v/>
      </c>
      <c r="O22" s="45" t="str">
        <f t="shared" si="1"/>
        <v/>
      </c>
      <c r="P22" s="149" t="str">
        <f t="shared" si="2"/>
        <v/>
      </c>
      <c r="Q22" s="157">
        <f t="shared" si="3"/>
        <v>0</v>
      </c>
      <c r="R22" s="157">
        <f t="shared" si="4"/>
        <v>0</v>
      </c>
      <c r="S22" s="149">
        <f t="shared" si="5"/>
        <v>0</v>
      </c>
      <c r="T22" s="44"/>
    </row>
    <row r="23" spans="1:20" s="46" customFormat="1" ht="14.25" customHeight="1">
      <c r="A23" s="38"/>
      <c r="B23" s="56"/>
      <c r="C23" s="155">
        <f>IF($B23&lt;&gt;"",VLOOKUP($B23,Matriz_INM,2,0),0)</f>
        <v>0</v>
      </c>
      <c r="D23" s="44"/>
      <c r="E23" s="44"/>
      <c r="F23" s="44"/>
      <c r="G23" s="44"/>
      <c r="H23" s="45"/>
      <c r="I23" s="156" t="str">
        <f>IFERROR(VLOOKUP($B23,Matriz_INM,3,0),"")</f>
        <v/>
      </c>
      <c r="J23" s="57"/>
      <c r="K23" s="57"/>
      <c r="L23" s="57"/>
      <c r="M23" s="44"/>
      <c r="N23" s="45" t="str">
        <f t="shared" si="0"/>
        <v/>
      </c>
      <c r="O23" s="45" t="str">
        <f t="shared" si="1"/>
        <v/>
      </c>
      <c r="P23" s="149" t="str">
        <f t="shared" si="2"/>
        <v/>
      </c>
      <c r="Q23" s="157">
        <f t="shared" si="3"/>
        <v>0</v>
      </c>
      <c r="R23" s="157">
        <f t="shared" si="4"/>
        <v>0</v>
      </c>
      <c r="S23" s="149">
        <f t="shared" si="5"/>
        <v>0</v>
      </c>
      <c r="T23" s="44"/>
    </row>
    <row r="24" spans="1:20" s="46" customFormat="1" ht="14.25" customHeight="1">
      <c r="A24" s="38"/>
      <c r="B24" s="56"/>
      <c r="C24" s="155">
        <f>IF($B24&lt;&gt;"",VLOOKUP($B24,Matriz_INM,2,0),0)</f>
        <v>0</v>
      </c>
      <c r="D24" s="44"/>
      <c r="E24" s="44"/>
      <c r="F24" s="44"/>
      <c r="G24" s="44"/>
      <c r="H24" s="45"/>
      <c r="I24" s="156" t="str">
        <f>IFERROR(VLOOKUP($B24,Matriz_INM,3,0),"")</f>
        <v/>
      </c>
      <c r="J24" s="57"/>
      <c r="K24" s="57"/>
      <c r="L24" s="57"/>
      <c r="M24" s="44"/>
      <c r="N24" s="45" t="str">
        <f t="shared" si="0"/>
        <v/>
      </c>
      <c r="O24" s="45" t="str">
        <f t="shared" si="1"/>
        <v/>
      </c>
      <c r="P24" s="149" t="str">
        <f t="shared" si="2"/>
        <v/>
      </c>
      <c r="Q24" s="157">
        <f t="shared" si="3"/>
        <v>0</v>
      </c>
      <c r="R24" s="157">
        <f t="shared" si="4"/>
        <v>0</v>
      </c>
      <c r="S24" s="149">
        <f t="shared" si="5"/>
        <v>0</v>
      </c>
      <c r="T24" s="44"/>
    </row>
    <row r="25" spans="1:20" s="46" customFormat="1" ht="14.25" customHeight="1">
      <c r="A25" s="38"/>
      <c r="B25" s="56"/>
      <c r="C25" s="155">
        <f>IF($B25&lt;&gt;"",VLOOKUP($B25,Matriz_INM,2,0),0)</f>
        <v>0</v>
      </c>
      <c r="D25" s="44"/>
      <c r="E25" s="44"/>
      <c r="F25" s="44"/>
      <c r="G25" s="44"/>
      <c r="H25" s="45"/>
      <c r="I25" s="156" t="str">
        <f>IFERROR(VLOOKUP($B25,Matriz_INM,3,0),"")</f>
        <v/>
      </c>
      <c r="J25" s="57"/>
      <c r="K25" s="57"/>
      <c r="L25" s="57"/>
      <c r="M25" s="44"/>
      <c r="N25" s="45" t="str">
        <f t="shared" si="0"/>
        <v/>
      </c>
      <c r="O25" s="45" t="str">
        <f t="shared" si="1"/>
        <v/>
      </c>
      <c r="P25" s="149" t="str">
        <f t="shared" si="2"/>
        <v/>
      </c>
      <c r="Q25" s="157">
        <f t="shared" si="3"/>
        <v>0</v>
      </c>
      <c r="R25" s="157">
        <f t="shared" si="4"/>
        <v>0</v>
      </c>
      <c r="S25" s="149">
        <f t="shared" si="5"/>
        <v>0</v>
      </c>
      <c r="T25" s="44"/>
    </row>
    <row r="26" spans="1:20" s="46" customFormat="1" ht="14.25" customHeight="1">
      <c r="A26" s="38"/>
      <c r="B26" s="56"/>
      <c r="C26" s="155">
        <f>IF($B26&lt;&gt;"",VLOOKUP($B26,Matriz_INM,2,0),0)</f>
        <v>0</v>
      </c>
      <c r="D26" s="44"/>
      <c r="E26" s="44"/>
      <c r="F26" s="44"/>
      <c r="G26" s="44"/>
      <c r="H26" s="45"/>
      <c r="I26" s="156" t="str">
        <f>IFERROR(VLOOKUP($B26,Matriz_INM,3,0),"")</f>
        <v/>
      </c>
      <c r="J26" s="57"/>
      <c r="K26" s="57"/>
      <c r="L26" s="57"/>
      <c r="M26" s="44"/>
      <c r="N26" s="45" t="str">
        <f t="shared" si="0"/>
        <v/>
      </c>
      <c r="O26" s="45" t="str">
        <f t="shared" si="1"/>
        <v/>
      </c>
      <c r="P26" s="149" t="str">
        <f t="shared" si="2"/>
        <v/>
      </c>
      <c r="Q26" s="157">
        <f t="shared" si="3"/>
        <v>0</v>
      </c>
      <c r="R26" s="157">
        <f t="shared" si="4"/>
        <v>0</v>
      </c>
      <c r="S26" s="149">
        <f t="shared" si="5"/>
        <v>0</v>
      </c>
      <c r="T26" s="44"/>
    </row>
    <row r="27" spans="1:20" s="46" customFormat="1" ht="14.25" customHeight="1">
      <c r="A27" s="38"/>
      <c r="B27" s="56"/>
      <c r="C27" s="155">
        <f>IF($B27&lt;&gt;"",VLOOKUP($B27,Matriz_INM,2,0),0)</f>
        <v>0</v>
      </c>
      <c r="D27" s="44"/>
      <c r="E27" s="44"/>
      <c r="F27" s="44"/>
      <c r="G27" s="44"/>
      <c r="H27" s="45"/>
      <c r="I27" s="156" t="str">
        <f>IFERROR(VLOOKUP($B27,Matriz_INM,3,0),"")</f>
        <v/>
      </c>
      <c r="J27" s="57"/>
      <c r="K27" s="57"/>
      <c r="L27" s="57"/>
      <c r="M27" s="44"/>
      <c r="N27" s="45" t="str">
        <f t="shared" si="0"/>
        <v/>
      </c>
      <c r="O27" s="45" t="str">
        <f t="shared" si="1"/>
        <v/>
      </c>
      <c r="P27" s="149" t="str">
        <f t="shared" si="2"/>
        <v/>
      </c>
      <c r="Q27" s="157">
        <f t="shared" si="3"/>
        <v>0</v>
      </c>
      <c r="R27" s="157">
        <f t="shared" si="4"/>
        <v>0</v>
      </c>
      <c r="S27" s="149">
        <f t="shared" si="5"/>
        <v>0</v>
      </c>
      <c r="T27" s="44"/>
    </row>
    <row r="28" spans="1:20" s="46" customFormat="1" ht="14.25" customHeight="1">
      <c r="A28" s="38"/>
      <c r="B28" s="56"/>
      <c r="C28" s="155">
        <f>IF($B28&lt;&gt;"",VLOOKUP($B28,Matriz_INM,2,0),0)</f>
        <v>0</v>
      </c>
      <c r="D28" s="44"/>
      <c r="E28" s="44"/>
      <c r="F28" s="44"/>
      <c r="G28" s="44"/>
      <c r="H28" s="45"/>
      <c r="I28" s="156" t="str">
        <f>IFERROR(VLOOKUP($B28,Matriz_INM,3,0),"")</f>
        <v/>
      </c>
      <c r="J28" s="57"/>
      <c r="K28" s="57"/>
      <c r="L28" s="57"/>
      <c r="M28" s="44"/>
      <c r="N28" s="45" t="str">
        <f t="shared" si="0"/>
        <v/>
      </c>
      <c r="O28" s="45" t="str">
        <f t="shared" si="1"/>
        <v/>
      </c>
      <c r="P28" s="149" t="str">
        <f t="shared" si="2"/>
        <v/>
      </c>
      <c r="Q28" s="157">
        <f t="shared" si="3"/>
        <v>0</v>
      </c>
      <c r="R28" s="157">
        <f t="shared" si="4"/>
        <v>0</v>
      </c>
      <c r="S28" s="149">
        <f t="shared" si="5"/>
        <v>0</v>
      </c>
      <c r="T28" s="44"/>
    </row>
    <row r="29" spans="1:20" s="46" customFormat="1" ht="14.25" customHeight="1">
      <c r="A29" s="38"/>
      <c r="B29" s="56"/>
      <c r="C29" s="155">
        <f>IF($B29&lt;&gt;"",VLOOKUP($B29,Matriz_INM,2,0),0)</f>
        <v>0</v>
      </c>
      <c r="D29" s="44"/>
      <c r="E29" s="44"/>
      <c r="F29" s="44"/>
      <c r="G29" s="44"/>
      <c r="H29" s="45"/>
      <c r="I29" s="156" t="str">
        <f>IFERROR(VLOOKUP($B29,Matriz_INM,3,0),"")</f>
        <v/>
      </c>
      <c r="J29" s="57"/>
      <c r="K29" s="57"/>
      <c r="L29" s="57"/>
      <c r="M29" s="44"/>
      <c r="N29" s="45" t="str">
        <f t="shared" si="0"/>
        <v/>
      </c>
      <c r="O29" s="45" t="str">
        <f t="shared" si="1"/>
        <v/>
      </c>
      <c r="P29" s="149" t="str">
        <f t="shared" si="2"/>
        <v/>
      </c>
      <c r="Q29" s="157">
        <f t="shared" si="3"/>
        <v>0</v>
      </c>
      <c r="R29" s="157">
        <f t="shared" si="4"/>
        <v>0</v>
      </c>
      <c r="S29" s="149">
        <f t="shared" si="5"/>
        <v>0</v>
      </c>
      <c r="T29" s="44"/>
    </row>
    <row r="30" spans="1:20" s="46" customFormat="1" ht="14.25" customHeight="1">
      <c r="A30" s="38"/>
      <c r="B30" s="56"/>
      <c r="C30" s="155">
        <f>IF($B30&lt;&gt;"",VLOOKUP($B30,Matriz_INM,2,0),0)</f>
        <v>0</v>
      </c>
      <c r="D30" s="44"/>
      <c r="E30" s="44"/>
      <c r="F30" s="44"/>
      <c r="G30" s="44"/>
      <c r="H30" s="45"/>
      <c r="I30" s="156" t="str">
        <f>IFERROR(VLOOKUP($B30,Matriz_INM,3,0),"")</f>
        <v/>
      </c>
      <c r="J30" s="57"/>
      <c r="K30" s="57"/>
      <c r="L30" s="57"/>
      <c r="M30" s="44"/>
      <c r="N30" s="45" t="str">
        <f t="shared" si="0"/>
        <v/>
      </c>
      <c r="O30" s="45" t="str">
        <f t="shared" si="1"/>
        <v/>
      </c>
      <c r="P30" s="149" t="str">
        <f t="shared" si="2"/>
        <v/>
      </c>
      <c r="Q30" s="157">
        <f t="shared" si="3"/>
        <v>0</v>
      </c>
      <c r="R30" s="157">
        <f t="shared" si="4"/>
        <v>0</v>
      </c>
      <c r="S30" s="149">
        <f t="shared" si="5"/>
        <v>0</v>
      </c>
      <c r="T30" s="44"/>
    </row>
    <row r="31" spans="1:20" s="46" customFormat="1" ht="14.25" customHeight="1">
      <c r="A31" s="38"/>
      <c r="B31" s="56"/>
      <c r="C31" s="155">
        <f>IF($B31&lt;&gt;"",VLOOKUP($B31,Matriz_INM,2,0),0)</f>
        <v>0</v>
      </c>
      <c r="D31" s="44"/>
      <c r="E31" s="44"/>
      <c r="F31" s="44"/>
      <c r="G31" s="44"/>
      <c r="H31" s="45"/>
      <c r="I31" s="156" t="str">
        <f>IFERROR(VLOOKUP($B31,Matriz_INM,3,0),"")</f>
        <v/>
      </c>
      <c r="J31" s="57"/>
      <c r="K31" s="57"/>
      <c r="L31" s="57"/>
      <c r="M31" s="44"/>
      <c r="N31" s="45" t="str">
        <f t="shared" si="0"/>
        <v/>
      </c>
      <c r="O31" s="45" t="str">
        <f t="shared" si="1"/>
        <v/>
      </c>
      <c r="P31" s="149" t="str">
        <f t="shared" si="2"/>
        <v/>
      </c>
      <c r="Q31" s="157">
        <f t="shared" si="3"/>
        <v>0</v>
      </c>
      <c r="R31" s="157">
        <f t="shared" si="4"/>
        <v>0</v>
      </c>
      <c r="S31" s="149">
        <f t="shared" si="5"/>
        <v>0</v>
      </c>
      <c r="T31" s="44"/>
    </row>
    <row r="32" spans="1:20" s="46" customFormat="1" ht="14.25" customHeight="1">
      <c r="A32" s="38"/>
      <c r="B32" s="56"/>
      <c r="C32" s="155">
        <f>IF($B32&lt;&gt;"",VLOOKUP($B32,Matriz_INM,2,0),0)</f>
        <v>0</v>
      </c>
      <c r="D32" s="44"/>
      <c r="E32" s="44"/>
      <c r="F32" s="44"/>
      <c r="G32" s="44"/>
      <c r="H32" s="45"/>
      <c r="I32" s="156" t="str">
        <f>IFERROR(VLOOKUP($B32,Matriz_INM,3,0),"")</f>
        <v/>
      </c>
      <c r="J32" s="57"/>
      <c r="K32" s="57"/>
      <c r="L32" s="57"/>
      <c r="M32" s="44"/>
      <c r="N32" s="45" t="str">
        <f t="shared" si="0"/>
        <v/>
      </c>
      <c r="O32" s="45" t="str">
        <f t="shared" si="1"/>
        <v/>
      </c>
      <c r="P32" s="149" t="str">
        <f t="shared" si="2"/>
        <v/>
      </c>
      <c r="Q32" s="157">
        <f t="shared" si="3"/>
        <v>0</v>
      </c>
      <c r="R32" s="157">
        <f t="shared" si="4"/>
        <v>0</v>
      </c>
      <c r="S32" s="149">
        <f t="shared" si="5"/>
        <v>0</v>
      </c>
      <c r="T32" s="44"/>
    </row>
    <row r="33" spans="1:20" s="46" customFormat="1" ht="14.25" customHeight="1">
      <c r="A33" s="38"/>
      <c r="B33" s="56"/>
      <c r="C33" s="155">
        <f>IF($B33&lt;&gt;"",VLOOKUP($B33,Matriz_INM,2,0),0)</f>
        <v>0</v>
      </c>
      <c r="D33" s="44"/>
      <c r="E33" s="44"/>
      <c r="F33" s="44"/>
      <c r="G33" s="44"/>
      <c r="H33" s="45"/>
      <c r="I33" s="156" t="str">
        <f>IFERROR(VLOOKUP($B33,Matriz_INM,3,0),"")</f>
        <v/>
      </c>
      <c r="J33" s="57"/>
      <c r="K33" s="57"/>
      <c r="L33" s="57"/>
      <c r="M33" s="44"/>
      <c r="N33" s="45" t="str">
        <f t="shared" si="0"/>
        <v/>
      </c>
      <c r="O33" s="45" t="str">
        <f t="shared" si="1"/>
        <v/>
      </c>
      <c r="P33" s="149" t="str">
        <f t="shared" si="2"/>
        <v/>
      </c>
      <c r="Q33" s="157">
        <f t="shared" si="3"/>
        <v>0</v>
      </c>
      <c r="R33" s="157">
        <f t="shared" si="4"/>
        <v>0</v>
      </c>
      <c r="S33" s="149">
        <f t="shared" si="5"/>
        <v>0</v>
      </c>
      <c r="T33" s="44"/>
    </row>
    <row r="34" spans="1:20" s="46" customFormat="1" ht="14.25" customHeight="1">
      <c r="A34" s="38"/>
      <c r="B34" s="56"/>
      <c r="C34" s="155">
        <f>IF($B34&lt;&gt;"",VLOOKUP($B34,Matriz_INM,2,0),0)</f>
        <v>0</v>
      </c>
      <c r="D34" s="44"/>
      <c r="E34" s="44"/>
      <c r="F34" s="44"/>
      <c r="G34" s="44"/>
      <c r="H34" s="45"/>
      <c r="I34" s="156" t="str">
        <f>IFERROR(VLOOKUP($B34,Matriz_INM,3,0),"")</f>
        <v/>
      </c>
      <c r="J34" s="57"/>
      <c r="K34" s="57"/>
      <c r="L34" s="57"/>
      <c r="M34" s="44"/>
      <c r="N34" s="45" t="str">
        <f t="shared" si="0"/>
        <v/>
      </c>
      <c r="O34" s="45" t="str">
        <f t="shared" si="1"/>
        <v/>
      </c>
      <c r="P34" s="149" t="str">
        <f t="shared" si="2"/>
        <v/>
      </c>
      <c r="Q34" s="157">
        <f t="shared" si="3"/>
        <v>0</v>
      </c>
      <c r="R34" s="157">
        <f t="shared" si="4"/>
        <v>0</v>
      </c>
      <c r="S34" s="149">
        <f t="shared" si="5"/>
        <v>0</v>
      </c>
      <c r="T34" s="44"/>
    </row>
    <row r="35" spans="1:20" s="46" customFormat="1" ht="14.25" customHeight="1">
      <c r="A35" s="38"/>
      <c r="B35" s="56"/>
      <c r="C35" s="155">
        <f>IF($B35&lt;&gt;"",VLOOKUP($B35,Matriz_INM,2,0),0)</f>
        <v>0</v>
      </c>
      <c r="D35" s="44"/>
      <c r="E35" s="44"/>
      <c r="F35" s="44"/>
      <c r="G35" s="44"/>
      <c r="H35" s="45"/>
      <c r="I35" s="156" t="str">
        <f>IFERROR(VLOOKUP($B35,Matriz_INM,3,0),"")</f>
        <v/>
      </c>
      <c r="J35" s="57"/>
      <c r="K35" s="57"/>
      <c r="L35" s="57"/>
      <c r="M35" s="44"/>
      <c r="N35" s="45" t="str">
        <f t="shared" si="0"/>
        <v/>
      </c>
      <c r="O35" s="45" t="str">
        <f t="shared" si="1"/>
        <v/>
      </c>
      <c r="P35" s="149" t="str">
        <f t="shared" si="2"/>
        <v/>
      </c>
      <c r="Q35" s="157">
        <f t="shared" si="3"/>
        <v>0</v>
      </c>
      <c r="R35" s="157">
        <f t="shared" si="4"/>
        <v>0</v>
      </c>
      <c r="S35" s="149">
        <f t="shared" si="5"/>
        <v>0</v>
      </c>
      <c r="T35" s="44"/>
    </row>
    <row r="36" spans="1:20" s="46" customFormat="1" ht="14.25" customHeight="1">
      <c r="A36" s="38"/>
      <c r="B36" s="56"/>
      <c r="C36" s="155">
        <f>IF($B36&lt;&gt;"",VLOOKUP($B36,Matriz_INM,2,0),0)</f>
        <v>0</v>
      </c>
      <c r="D36" s="44"/>
      <c r="E36" s="44"/>
      <c r="F36" s="44"/>
      <c r="G36" s="44"/>
      <c r="H36" s="45"/>
      <c r="I36" s="156" t="str">
        <f>IFERROR(VLOOKUP($B36,Matriz_INM,3,0),"")</f>
        <v/>
      </c>
      <c r="J36" s="57"/>
      <c r="K36" s="57"/>
      <c r="L36" s="57"/>
      <c r="M36" s="44"/>
      <c r="N36" s="45" t="str">
        <f t="shared" si="0"/>
        <v/>
      </c>
      <c r="O36" s="45" t="str">
        <f t="shared" si="1"/>
        <v/>
      </c>
      <c r="P36" s="149" t="str">
        <f t="shared" si="2"/>
        <v/>
      </c>
      <c r="Q36" s="157">
        <f t="shared" si="3"/>
        <v>0</v>
      </c>
      <c r="R36" s="157">
        <f t="shared" si="4"/>
        <v>0</v>
      </c>
      <c r="S36" s="149">
        <f t="shared" si="5"/>
        <v>0</v>
      </c>
      <c r="T36" s="44"/>
    </row>
    <row r="37" spans="1:20" s="46" customFormat="1" ht="14.25" customHeight="1">
      <c r="A37" s="38"/>
      <c r="B37" s="56"/>
      <c r="C37" s="155">
        <f>IF($B37&lt;&gt;"",VLOOKUP($B37,Matriz_INM,2,0),0)</f>
        <v>0</v>
      </c>
      <c r="D37" s="44"/>
      <c r="E37" s="44"/>
      <c r="F37" s="44"/>
      <c r="G37" s="44"/>
      <c r="H37" s="45"/>
      <c r="I37" s="156" t="str">
        <f>IFERROR(VLOOKUP($B37,Matriz_INM,3,0),"")</f>
        <v/>
      </c>
      <c r="J37" s="57"/>
      <c r="K37" s="57"/>
      <c r="L37" s="57"/>
      <c r="M37" s="44"/>
      <c r="N37" s="45" t="str">
        <f t="shared" si="0"/>
        <v/>
      </c>
      <c r="O37" s="45" t="str">
        <f t="shared" si="1"/>
        <v/>
      </c>
      <c r="P37" s="149" t="str">
        <f t="shared" si="2"/>
        <v/>
      </c>
      <c r="Q37" s="157">
        <f t="shared" si="3"/>
        <v>0</v>
      </c>
      <c r="R37" s="157">
        <f t="shared" si="4"/>
        <v>0</v>
      </c>
      <c r="S37" s="149">
        <f t="shared" si="5"/>
        <v>0</v>
      </c>
      <c r="T37" s="44"/>
    </row>
    <row r="38" spans="1:20" s="46" customFormat="1" ht="14.25" customHeight="1">
      <c r="A38" s="38"/>
      <c r="B38" s="56"/>
      <c r="C38" s="155">
        <f>IF($B38&lt;&gt;"",VLOOKUP($B38,Matriz_INM,2,0),0)</f>
        <v>0</v>
      </c>
      <c r="D38" s="44"/>
      <c r="E38" s="44"/>
      <c r="F38" s="44"/>
      <c r="G38" s="44"/>
      <c r="H38" s="45"/>
      <c r="I38" s="156" t="str">
        <f>IFERROR(VLOOKUP($B38,Matriz_INM,3,0),"")</f>
        <v/>
      </c>
      <c r="J38" s="57"/>
      <c r="K38" s="57"/>
      <c r="L38" s="57"/>
      <c r="M38" s="44"/>
      <c r="N38" s="45" t="str">
        <f t="shared" si="0"/>
        <v/>
      </c>
      <c r="O38" s="45" t="str">
        <f t="shared" si="1"/>
        <v/>
      </c>
      <c r="P38" s="149" t="str">
        <f t="shared" si="2"/>
        <v/>
      </c>
      <c r="Q38" s="157">
        <f t="shared" si="3"/>
        <v>0</v>
      </c>
      <c r="R38" s="157">
        <f t="shared" si="4"/>
        <v>0</v>
      </c>
      <c r="S38" s="149">
        <f t="shared" si="5"/>
        <v>0</v>
      </c>
      <c r="T38" s="44"/>
    </row>
    <row r="39" spans="1:20" s="46" customFormat="1" ht="14.25" customHeight="1">
      <c r="A39" s="38"/>
      <c r="B39" s="56"/>
      <c r="C39" s="155">
        <f>IF($B39&lt;&gt;"",VLOOKUP($B39,Matriz_INM,2,0),0)</f>
        <v>0</v>
      </c>
      <c r="D39" s="44"/>
      <c r="E39" s="44"/>
      <c r="F39" s="44"/>
      <c r="G39" s="44"/>
      <c r="H39" s="45"/>
      <c r="I39" s="156" t="str">
        <f>IFERROR(VLOOKUP($B39,Matriz_INM,3,0),"")</f>
        <v/>
      </c>
      <c r="J39" s="57"/>
      <c r="K39" s="57"/>
      <c r="L39" s="57"/>
      <c r="M39" s="44"/>
      <c r="N39" s="45" t="str">
        <f t="shared" si="0"/>
        <v/>
      </c>
      <c r="O39" s="45" t="str">
        <f t="shared" si="1"/>
        <v/>
      </c>
      <c r="P39" s="149" t="str">
        <f t="shared" si="2"/>
        <v/>
      </c>
      <c r="Q39" s="157">
        <f t="shared" si="3"/>
        <v>0</v>
      </c>
      <c r="R39" s="157">
        <f t="shared" si="4"/>
        <v>0</v>
      </c>
      <c r="S39" s="149">
        <f t="shared" si="5"/>
        <v>0</v>
      </c>
      <c r="T39" s="44"/>
    </row>
    <row r="40" spans="1:20" s="46" customFormat="1" ht="14.25" customHeight="1">
      <c r="A40" s="38"/>
      <c r="B40" s="56"/>
      <c r="C40" s="155">
        <f>IF($B40&lt;&gt;"",VLOOKUP($B40,Matriz_INM,2,0),0)</f>
        <v>0</v>
      </c>
      <c r="D40" s="44"/>
      <c r="E40" s="44"/>
      <c r="F40" s="44"/>
      <c r="G40" s="44"/>
      <c r="H40" s="45"/>
      <c r="I40" s="156" t="str">
        <f>IFERROR(VLOOKUP($B40,Matriz_INM,3,0),"")</f>
        <v/>
      </c>
      <c r="J40" s="57"/>
      <c r="K40" s="57"/>
      <c r="L40" s="57"/>
      <c r="M40" s="44"/>
      <c r="N40" s="45" t="str">
        <f t="shared" si="0"/>
        <v/>
      </c>
      <c r="O40" s="45" t="str">
        <f t="shared" si="1"/>
        <v/>
      </c>
      <c r="P40" s="149" t="str">
        <f t="shared" si="2"/>
        <v/>
      </c>
      <c r="Q40" s="157">
        <f t="shared" si="3"/>
        <v>0</v>
      </c>
      <c r="R40" s="157">
        <f t="shared" si="4"/>
        <v>0</v>
      </c>
      <c r="S40" s="149">
        <f t="shared" si="5"/>
        <v>0</v>
      </c>
      <c r="T40" s="44"/>
    </row>
    <row r="41" spans="1:20" s="46" customFormat="1" ht="14.25" customHeight="1">
      <c r="A41" s="38"/>
      <c r="B41" s="56"/>
      <c r="C41" s="155">
        <f>IF($B41&lt;&gt;"",VLOOKUP($B41,Matriz_INM,2,0),0)</f>
        <v>0</v>
      </c>
      <c r="D41" s="44"/>
      <c r="E41" s="44"/>
      <c r="F41" s="44"/>
      <c r="G41" s="44"/>
      <c r="H41" s="45"/>
      <c r="I41" s="156" t="str">
        <f>IFERROR(VLOOKUP($B41,Matriz_INM,3,0),"")</f>
        <v/>
      </c>
      <c r="J41" s="57"/>
      <c r="K41" s="57"/>
      <c r="L41" s="57"/>
      <c r="M41" s="44"/>
      <c r="N41" s="45" t="str">
        <f t="shared" si="0"/>
        <v/>
      </c>
      <c r="O41" s="45" t="str">
        <f t="shared" si="1"/>
        <v/>
      </c>
      <c r="P41" s="149" t="str">
        <f t="shared" si="2"/>
        <v/>
      </c>
      <c r="Q41" s="157">
        <f t="shared" si="3"/>
        <v>0</v>
      </c>
      <c r="R41" s="157">
        <f t="shared" si="4"/>
        <v>0</v>
      </c>
      <c r="S41" s="149">
        <f t="shared" si="5"/>
        <v>0</v>
      </c>
      <c r="T41" s="44"/>
    </row>
    <row r="42" spans="1:20" s="46" customFormat="1" ht="14.25" customHeight="1">
      <c r="A42" s="38"/>
      <c r="B42" s="56"/>
      <c r="C42" s="155">
        <f>IF($B42&lt;&gt;"",VLOOKUP($B42,Matriz_INM,2,0),0)</f>
        <v>0</v>
      </c>
      <c r="D42" s="44"/>
      <c r="E42" s="44"/>
      <c r="F42" s="44"/>
      <c r="G42" s="44"/>
      <c r="H42" s="45"/>
      <c r="I42" s="156" t="str">
        <f>IFERROR(VLOOKUP($B42,Matriz_INM,3,0),"")</f>
        <v/>
      </c>
      <c r="J42" s="57"/>
      <c r="K42" s="57"/>
      <c r="L42" s="57"/>
      <c r="M42" s="44"/>
      <c r="N42" s="45" t="str">
        <f t="shared" si="0"/>
        <v/>
      </c>
      <c r="O42" s="45" t="str">
        <f t="shared" si="1"/>
        <v/>
      </c>
      <c r="P42" s="149" t="str">
        <f t="shared" si="2"/>
        <v/>
      </c>
      <c r="Q42" s="157">
        <f t="shared" si="3"/>
        <v>0</v>
      </c>
      <c r="R42" s="157">
        <f t="shared" si="4"/>
        <v>0</v>
      </c>
      <c r="S42" s="149">
        <f t="shared" si="5"/>
        <v>0</v>
      </c>
      <c r="T42" s="44"/>
    </row>
    <row r="43" spans="1:20" s="46" customFormat="1" ht="14.25" customHeight="1">
      <c r="A43" s="38"/>
      <c r="B43" s="56"/>
      <c r="C43" s="155">
        <f>IF($B43&lt;&gt;"",VLOOKUP($B43,Matriz_INM,2,0),0)</f>
        <v>0</v>
      </c>
      <c r="D43" s="44"/>
      <c r="E43" s="44"/>
      <c r="F43" s="44"/>
      <c r="G43" s="44"/>
      <c r="H43" s="45"/>
      <c r="I43" s="156" t="str">
        <f>IFERROR(VLOOKUP($B43,Matriz_INM,3,0),"")</f>
        <v/>
      </c>
      <c r="J43" s="57"/>
      <c r="K43" s="57"/>
      <c r="L43" s="57"/>
      <c r="M43" s="44"/>
      <c r="N43" s="45" t="str">
        <f t="shared" si="0"/>
        <v/>
      </c>
      <c r="O43" s="45" t="str">
        <f t="shared" si="1"/>
        <v/>
      </c>
      <c r="P43" s="149" t="str">
        <f t="shared" si="2"/>
        <v/>
      </c>
      <c r="Q43" s="157">
        <f t="shared" si="3"/>
        <v>0</v>
      </c>
      <c r="R43" s="157">
        <f t="shared" si="4"/>
        <v>0</v>
      </c>
      <c r="S43" s="149">
        <f t="shared" si="5"/>
        <v>0</v>
      </c>
      <c r="T43" s="44"/>
    </row>
    <row r="44" spans="1:20" s="46" customFormat="1" ht="14.25" customHeight="1">
      <c r="A44" s="38"/>
      <c r="B44" s="56"/>
      <c r="C44" s="155">
        <f>IF($B44&lt;&gt;"",VLOOKUP($B44,Matriz_INM,2,0),0)</f>
        <v>0</v>
      </c>
      <c r="D44" s="44"/>
      <c r="E44" s="44"/>
      <c r="F44" s="44"/>
      <c r="G44" s="44"/>
      <c r="H44" s="45"/>
      <c r="I44" s="156" t="str">
        <f>IFERROR(VLOOKUP($B44,Matriz_INM,3,0),"")</f>
        <v/>
      </c>
      <c r="J44" s="57"/>
      <c r="K44" s="57"/>
      <c r="L44" s="57"/>
      <c r="M44" s="44"/>
      <c r="N44" s="45" t="str">
        <f t="shared" si="0"/>
        <v/>
      </c>
      <c r="O44" s="45" t="str">
        <f t="shared" si="1"/>
        <v/>
      </c>
      <c r="P44" s="149" t="str">
        <f t="shared" si="2"/>
        <v/>
      </c>
      <c r="Q44" s="157">
        <f t="shared" si="3"/>
        <v>0</v>
      </c>
      <c r="R44" s="157">
        <f t="shared" si="4"/>
        <v>0</v>
      </c>
      <c r="S44" s="149">
        <f t="shared" si="5"/>
        <v>0</v>
      </c>
      <c r="T44" s="44"/>
    </row>
    <row r="45" spans="1:20" s="46" customFormat="1" ht="14.25" customHeight="1">
      <c r="A45" s="38"/>
      <c r="B45" s="56"/>
      <c r="C45" s="155">
        <f>IF($B45&lt;&gt;"",VLOOKUP($B45,Matriz_INM,2,0),0)</f>
        <v>0</v>
      </c>
      <c r="D45" s="44"/>
      <c r="E45" s="44"/>
      <c r="F45" s="44"/>
      <c r="G45" s="44"/>
      <c r="H45" s="45"/>
      <c r="I45" s="156" t="str">
        <f>IFERROR(VLOOKUP($B45,Matriz_INM,3,0),"")</f>
        <v/>
      </c>
      <c r="J45" s="57"/>
      <c r="K45" s="57"/>
      <c r="L45" s="57"/>
      <c r="M45" s="44"/>
      <c r="N45" s="45" t="str">
        <f t="shared" si="0"/>
        <v/>
      </c>
      <c r="O45" s="45" t="str">
        <f t="shared" si="1"/>
        <v/>
      </c>
      <c r="P45" s="149" t="str">
        <f t="shared" si="2"/>
        <v/>
      </c>
      <c r="Q45" s="157">
        <f t="shared" si="3"/>
        <v>0</v>
      </c>
      <c r="R45" s="157">
        <f t="shared" si="4"/>
        <v>0</v>
      </c>
      <c r="S45" s="149">
        <f t="shared" si="5"/>
        <v>0</v>
      </c>
      <c r="T45" s="44"/>
    </row>
    <row r="46" spans="1:20" s="46" customFormat="1" ht="14.25" customHeight="1">
      <c r="A46" s="38"/>
      <c r="B46" s="56"/>
      <c r="C46" s="155">
        <f>IF($B46&lt;&gt;"",VLOOKUP($B46,Matriz_INM,2,0),0)</f>
        <v>0</v>
      </c>
      <c r="D46" s="44"/>
      <c r="E46" s="44"/>
      <c r="F46" s="44"/>
      <c r="G46" s="44"/>
      <c r="H46" s="45"/>
      <c r="I46" s="156" t="str">
        <f>IFERROR(VLOOKUP($B46,Matriz_INM,3,0),"")</f>
        <v/>
      </c>
      <c r="J46" s="57"/>
      <c r="K46" s="57"/>
      <c r="L46" s="57"/>
      <c r="M46" s="44"/>
      <c r="N46" s="45" t="str">
        <f t="shared" si="0"/>
        <v/>
      </c>
      <c r="O46" s="45" t="str">
        <f t="shared" si="1"/>
        <v/>
      </c>
      <c r="P46" s="149" t="str">
        <f t="shared" si="2"/>
        <v/>
      </c>
      <c r="Q46" s="157">
        <f t="shared" si="3"/>
        <v>0</v>
      </c>
      <c r="R46" s="157">
        <f t="shared" si="4"/>
        <v>0</v>
      </c>
      <c r="S46" s="149">
        <f t="shared" si="5"/>
        <v>0</v>
      </c>
      <c r="T46" s="44"/>
    </row>
    <row r="47" spans="1:20" s="46" customFormat="1" ht="14.25" customHeight="1">
      <c r="A47" s="38"/>
      <c r="B47" s="56"/>
      <c r="C47" s="155">
        <f>IF($B47&lt;&gt;"",VLOOKUP($B47,Matriz_INM,2,0),0)</f>
        <v>0</v>
      </c>
      <c r="D47" s="44"/>
      <c r="E47" s="44"/>
      <c r="F47" s="44"/>
      <c r="G47" s="44"/>
      <c r="H47" s="45"/>
      <c r="I47" s="156" t="str">
        <f>IFERROR(VLOOKUP($B47,Matriz_INM,3,0),"")</f>
        <v/>
      </c>
      <c r="J47" s="57"/>
      <c r="K47" s="57"/>
      <c r="L47" s="57"/>
      <c r="M47" s="44"/>
      <c r="N47" s="45" t="str">
        <f t="shared" si="0"/>
        <v/>
      </c>
      <c r="O47" s="45" t="str">
        <f t="shared" si="1"/>
        <v/>
      </c>
      <c r="P47" s="149" t="str">
        <f t="shared" si="2"/>
        <v/>
      </c>
      <c r="Q47" s="157">
        <f t="shared" si="3"/>
        <v>0</v>
      </c>
      <c r="R47" s="157">
        <f t="shared" si="4"/>
        <v>0</v>
      </c>
      <c r="S47" s="149">
        <f t="shared" si="5"/>
        <v>0</v>
      </c>
      <c r="T47" s="44"/>
    </row>
    <row r="48" spans="1:20" s="46" customFormat="1" ht="14.25" customHeight="1">
      <c r="A48" s="38"/>
      <c r="B48" s="56"/>
      <c r="C48" s="155">
        <f>IF($B48&lt;&gt;"",VLOOKUP($B48,Matriz_INM,2,0),0)</f>
        <v>0</v>
      </c>
      <c r="D48" s="44"/>
      <c r="E48" s="44"/>
      <c r="F48" s="44"/>
      <c r="G48" s="44"/>
      <c r="H48" s="45"/>
      <c r="I48" s="156" t="str">
        <f>IFERROR(VLOOKUP($B48,Matriz_INM,3,0),"")</f>
        <v/>
      </c>
      <c r="J48" s="57"/>
      <c r="K48" s="57"/>
      <c r="L48" s="57"/>
      <c r="M48" s="44"/>
      <c r="N48" s="45" t="str">
        <f t="shared" si="0"/>
        <v/>
      </c>
      <c r="O48" s="45" t="str">
        <f t="shared" si="1"/>
        <v/>
      </c>
      <c r="P48" s="149" t="str">
        <f t="shared" si="2"/>
        <v/>
      </c>
      <c r="Q48" s="157">
        <f t="shared" si="3"/>
        <v>0</v>
      </c>
      <c r="R48" s="157">
        <f t="shared" si="4"/>
        <v>0</v>
      </c>
      <c r="S48" s="149">
        <f t="shared" si="5"/>
        <v>0</v>
      </c>
      <c r="T48" s="44"/>
    </row>
    <row r="49" spans="1:20" s="46" customFormat="1" ht="14.25" customHeight="1">
      <c r="A49" s="38"/>
      <c r="B49" s="56"/>
      <c r="C49" s="155">
        <f>IF($B49&lt;&gt;"",VLOOKUP($B49,Matriz_INM,2,0),0)</f>
        <v>0</v>
      </c>
      <c r="D49" s="44"/>
      <c r="E49" s="44"/>
      <c r="F49" s="44"/>
      <c r="G49" s="44"/>
      <c r="H49" s="45"/>
      <c r="I49" s="156" t="str">
        <f>IFERROR(VLOOKUP($B49,Matriz_INM,3,0),"")</f>
        <v/>
      </c>
      <c r="J49" s="57"/>
      <c r="K49" s="57"/>
      <c r="L49" s="57"/>
      <c r="M49" s="44"/>
      <c r="N49" s="45" t="str">
        <f t="shared" si="0"/>
        <v/>
      </c>
      <c r="O49" s="45" t="str">
        <f t="shared" si="1"/>
        <v/>
      </c>
      <c r="P49" s="149" t="str">
        <f t="shared" si="2"/>
        <v/>
      </c>
      <c r="Q49" s="157">
        <f t="shared" si="3"/>
        <v>0</v>
      </c>
      <c r="R49" s="157">
        <f t="shared" si="4"/>
        <v>0</v>
      </c>
      <c r="S49" s="149">
        <f t="shared" si="5"/>
        <v>0</v>
      </c>
      <c r="T49" s="44"/>
    </row>
    <row r="50" spans="1:20" s="46" customFormat="1" ht="14.25" customHeight="1">
      <c r="A50" s="38"/>
      <c r="B50" s="56"/>
      <c r="C50" s="155">
        <f>IF($B50&lt;&gt;"",VLOOKUP($B50,Matriz_INM,2,0),0)</f>
        <v>0</v>
      </c>
      <c r="D50" s="44"/>
      <c r="E50" s="44"/>
      <c r="F50" s="44"/>
      <c r="G50" s="44"/>
      <c r="H50" s="45"/>
      <c r="I50" s="156" t="str">
        <f>IFERROR(VLOOKUP($B50,Matriz_INM,3,0),"")</f>
        <v/>
      </c>
      <c r="J50" s="57"/>
      <c r="K50" s="57"/>
      <c r="L50" s="57"/>
      <c r="M50" s="44"/>
      <c r="N50" s="45" t="str">
        <f t="shared" si="0"/>
        <v/>
      </c>
      <c r="O50" s="45" t="str">
        <f t="shared" si="1"/>
        <v/>
      </c>
      <c r="P50" s="149" t="str">
        <f t="shared" si="2"/>
        <v/>
      </c>
      <c r="Q50" s="157">
        <f t="shared" si="3"/>
        <v>0</v>
      </c>
      <c r="R50" s="157">
        <f t="shared" si="4"/>
        <v>0</v>
      </c>
      <c r="S50" s="149">
        <f t="shared" si="5"/>
        <v>0</v>
      </c>
      <c r="T50" s="44"/>
    </row>
    <row r="51" spans="1:20" s="46" customFormat="1" ht="14.25" customHeight="1">
      <c r="A51" s="38"/>
      <c r="B51" s="56"/>
      <c r="C51" s="155">
        <f>IF($B51&lt;&gt;"",VLOOKUP($B51,Matriz_INM,2,0),0)</f>
        <v>0</v>
      </c>
      <c r="D51" s="44"/>
      <c r="E51" s="44"/>
      <c r="F51" s="44"/>
      <c r="G51" s="44"/>
      <c r="H51" s="45"/>
      <c r="I51" s="156" t="str">
        <f>IFERROR(VLOOKUP($B51,Matriz_INM,3,0),"")</f>
        <v/>
      </c>
      <c r="J51" s="57"/>
      <c r="K51" s="57"/>
      <c r="L51" s="57"/>
      <c r="M51" s="44"/>
      <c r="N51" s="45" t="str">
        <f t="shared" si="0"/>
        <v/>
      </c>
      <c r="O51" s="45" t="str">
        <f t="shared" si="1"/>
        <v/>
      </c>
      <c r="P51" s="149" t="str">
        <f t="shared" si="2"/>
        <v/>
      </c>
      <c r="Q51" s="157">
        <f t="shared" si="3"/>
        <v>0</v>
      </c>
      <c r="R51" s="157">
        <f t="shared" si="4"/>
        <v>0</v>
      </c>
      <c r="S51" s="149">
        <f t="shared" si="5"/>
        <v>0</v>
      </c>
      <c r="T51" s="44"/>
    </row>
    <row r="52" spans="1:20" s="46" customFormat="1" ht="14.25" customHeight="1">
      <c r="A52" s="38"/>
      <c r="B52" s="56"/>
      <c r="C52" s="155">
        <f>IF($B52&lt;&gt;"",VLOOKUP($B52,Matriz_INM,2,0),0)</f>
        <v>0</v>
      </c>
      <c r="D52" s="44"/>
      <c r="E52" s="44"/>
      <c r="F52" s="44"/>
      <c r="G52" s="44"/>
      <c r="H52" s="45"/>
      <c r="I52" s="156" t="str">
        <f>IFERROR(VLOOKUP($B52,Matriz_INM,3,0),"")</f>
        <v/>
      </c>
      <c r="J52" s="57"/>
      <c r="K52" s="57"/>
      <c r="L52" s="57"/>
      <c r="M52" s="44"/>
      <c r="N52" s="45" t="str">
        <f t="shared" si="0"/>
        <v/>
      </c>
      <c r="O52" s="45" t="str">
        <f t="shared" si="1"/>
        <v/>
      </c>
      <c r="P52" s="149" t="str">
        <f t="shared" si="2"/>
        <v/>
      </c>
      <c r="Q52" s="157">
        <f t="shared" si="3"/>
        <v>0</v>
      </c>
      <c r="R52" s="157">
        <f t="shared" si="4"/>
        <v>0</v>
      </c>
      <c r="S52" s="149">
        <f t="shared" si="5"/>
        <v>0</v>
      </c>
      <c r="T52" s="44"/>
    </row>
    <row r="53" spans="1:20" s="46" customFormat="1" ht="14.25" customHeight="1">
      <c r="A53" s="38"/>
      <c r="B53" s="56"/>
      <c r="C53" s="155">
        <f>IF($B53&lt;&gt;"",VLOOKUP($B53,Matriz_INM,2,0),0)</f>
        <v>0</v>
      </c>
      <c r="D53" s="44"/>
      <c r="E53" s="44"/>
      <c r="F53" s="44"/>
      <c r="G53" s="44"/>
      <c r="H53" s="45"/>
      <c r="I53" s="156" t="str">
        <f>IFERROR(VLOOKUP($B53,Matriz_INM,3,0),"")</f>
        <v/>
      </c>
      <c r="J53" s="57"/>
      <c r="K53" s="57"/>
      <c r="L53" s="57"/>
      <c r="M53" s="44"/>
      <c r="N53" s="45" t="str">
        <f t="shared" si="0"/>
        <v/>
      </c>
      <c r="O53" s="45" t="str">
        <f t="shared" si="1"/>
        <v/>
      </c>
      <c r="P53" s="149" t="str">
        <f t="shared" si="2"/>
        <v/>
      </c>
      <c r="Q53" s="157">
        <f t="shared" si="3"/>
        <v>0</v>
      </c>
      <c r="R53" s="157">
        <f t="shared" si="4"/>
        <v>0</v>
      </c>
      <c r="S53" s="149">
        <f t="shared" si="5"/>
        <v>0</v>
      </c>
      <c r="T53" s="44"/>
    </row>
    <row r="54" spans="1:20" s="46" customFormat="1" ht="14.25" customHeight="1">
      <c r="A54" s="38"/>
      <c r="B54" s="56"/>
      <c r="C54" s="155">
        <f>IF($B54&lt;&gt;"",VLOOKUP($B54,Matriz_INM,2,0),0)</f>
        <v>0</v>
      </c>
      <c r="D54" s="44"/>
      <c r="E54" s="44"/>
      <c r="F54" s="44"/>
      <c r="G54" s="44"/>
      <c r="H54" s="45"/>
      <c r="I54" s="156" t="str">
        <f>IFERROR(VLOOKUP($B54,Matriz_INM,3,0),"")</f>
        <v/>
      </c>
      <c r="J54" s="57"/>
      <c r="K54" s="57"/>
      <c r="L54" s="57"/>
      <c r="M54" s="44"/>
      <c r="N54" s="45" t="str">
        <f t="shared" si="0"/>
        <v/>
      </c>
      <c r="O54" s="45" t="str">
        <f t="shared" si="1"/>
        <v/>
      </c>
      <c r="P54" s="149" t="str">
        <f t="shared" si="2"/>
        <v/>
      </c>
      <c r="Q54" s="157">
        <f t="shared" si="3"/>
        <v>0</v>
      </c>
      <c r="R54" s="157">
        <f t="shared" si="4"/>
        <v>0</v>
      </c>
      <c r="S54" s="149">
        <f t="shared" si="5"/>
        <v>0</v>
      </c>
      <c r="T54" s="44"/>
    </row>
    <row r="55" spans="1:20" s="46" customFormat="1" ht="14.25" customHeight="1">
      <c r="A55" s="38"/>
      <c r="B55" s="56"/>
      <c r="C55" s="155">
        <f>IF($B55&lt;&gt;"",VLOOKUP($B55,Matriz_INM,2,0),0)</f>
        <v>0</v>
      </c>
      <c r="D55" s="44"/>
      <c r="E55" s="44"/>
      <c r="F55" s="44"/>
      <c r="G55" s="44"/>
      <c r="H55" s="45"/>
      <c r="I55" s="156" t="str">
        <f>IFERROR(VLOOKUP($B55,Matriz_INM,3,0),"")</f>
        <v/>
      </c>
      <c r="J55" s="57"/>
      <c r="K55" s="57"/>
      <c r="L55" s="57"/>
      <c r="M55" s="44"/>
      <c r="N55" s="45" t="str">
        <f t="shared" si="0"/>
        <v/>
      </c>
      <c r="O55" s="45" t="str">
        <f t="shared" si="1"/>
        <v/>
      </c>
      <c r="P55" s="149" t="str">
        <f t="shared" si="2"/>
        <v/>
      </c>
      <c r="Q55" s="157">
        <f t="shared" si="3"/>
        <v>0</v>
      </c>
      <c r="R55" s="157">
        <f t="shared" si="4"/>
        <v>0</v>
      </c>
      <c r="S55" s="149">
        <f t="shared" si="5"/>
        <v>0</v>
      </c>
      <c r="T55" s="44"/>
    </row>
    <row r="56" spans="1:20" s="46" customFormat="1" ht="14.25" customHeight="1">
      <c r="A56" s="38"/>
      <c r="B56" s="56"/>
      <c r="C56" s="155">
        <f>IF($B56&lt;&gt;"",VLOOKUP($B56,Matriz_INM,2,0),0)</f>
        <v>0</v>
      </c>
      <c r="D56" s="44"/>
      <c r="E56" s="44"/>
      <c r="F56" s="44"/>
      <c r="G56" s="44"/>
      <c r="H56" s="45"/>
      <c r="I56" s="156" t="str">
        <f>IFERROR(VLOOKUP($B56,Matriz_INM,3,0),"")</f>
        <v/>
      </c>
      <c r="J56" s="57"/>
      <c r="K56" s="57"/>
      <c r="L56" s="57"/>
      <c r="M56" s="44"/>
      <c r="N56" s="45" t="str">
        <f t="shared" si="0"/>
        <v/>
      </c>
      <c r="O56" s="45" t="str">
        <f t="shared" si="1"/>
        <v/>
      </c>
      <c r="P56" s="149" t="str">
        <f t="shared" si="2"/>
        <v/>
      </c>
      <c r="Q56" s="157">
        <f t="shared" si="3"/>
        <v>0</v>
      </c>
      <c r="R56" s="157">
        <f t="shared" si="4"/>
        <v>0</v>
      </c>
      <c r="S56" s="149">
        <f t="shared" si="5"/>
        <v>0</v>
      </c>
      <c r="T56" s="44"/>
    </row>
    <row r="57" spans="1:20" s="46" customFormat="1" ht="14.25" customHeight="1">
      <c r="A57" s="38"/>
      <c r="B57" s="56"/>
      <c r="C57" s="155">
        <f>IF($B57&lt;&gt;"",VLOOKUP($B57,Matriz_INM,2,0),0)</f>
        <v>0</v>
      </c>
      <c r="D57" s="44"/>
      <c r="E57" s="44"/>
      <c r="F57" s="44"/>
      <c r="G57" s="44"/>
      <c r="H57" s="45"/>
      <c r="I57" s="156" t="str">
        <f>IFERROR(VLOOKUP($B57,Matriz_INM,3,0),"")</f>
        <v/>
      </c>
      <c r="J57" s="57"/>
      <c r="K57" s="57"/>
      <c r="L57" s="57"/>
      <c r="M57" s="44"/>
      <c r="N57" s="45" t="str">
        <f t="shared" si="0"/>
        <v/>
      </c>
      <c r="O57" s="45" t="str">
        <f t="shared" si="1"/>
        <v/>
      </c>
      <c r="P57" s="149" t="str">
        <f t="shared" si="2"/>
        <v/>
      </c>
      <c r="Q57" s="157">
        <f t="shared" si="3"/>
        <v>0</v>
      </c>
      <c r="R57" s="157">
        <f t="shared" si="4"/>
        <v>0</v>
      </c>
      <c r="S57" s="149">
        <f t="shared" si="5"/>
        <v>0</v>
      </c>
      <c r="T57" s="44"/>
    </row>
    <row r="58" spans="1:20" s="46" customFormat="1" ht="14.25" customHeight="1">
      <c r="A58" s="38"/>
      <c r="B58" s="56"/>
      <c r="C58" s="155">
        <f>IF($B58&lt;&gt;"",VLOOKUP($B58,Matriz_INM,2,0),0)</f>
        <v>0</v>
      </c>
      <c r="D58" s="44"/>
      <c r="E58" s="44"/>
      <c r="F58" s="44"/>
      <c r="G58" s="44"/>
      <c r="H58" s="45"/>
      <c r="I58" s="156" t="str">
        <f>IFERROR(VLOOKUP($B58,Matriz_INM,3,0),"")</f>
        <v/>
      </c>
      <c r="J58" s="57"/>
      <c r="K58" s="57"/>
      <c r="L58" s="57"/>
      <c r="M58" s="44"/>
      <c r="N58" s="45" t="str">
        <f t="shared" si="0"/>
        <v/>
      </c>
      <c r="O58" s="45" t="str">
        <f t="shared" si="1"/>
        <v/>
      </c>
      <c r="P58" s="149" t="str">
        <f t="shared" si="2"/>
        <v/>
      </c>
      <c r="Q58" s="157">
        <f t="shared" si="3"/>
        <v>0</v>
      </c>
      <c r="R58" s="157">
        <f t="shared" si="4"/>
        <v>0</v>
      </c>
      <c r="S58" s="149">
        <f t="shared" si="5"/>
        <v>0</v>
      </c>
      <c r="T58" s="44"/>
    </row>
    <row r="59" spans="1:20" s="46" customFormat="1" ht="14.25" customHeight="1">
      <c r="A59" s="38"/>
      <c r="B59" s="56"/>
      <c r="C59" s="155">
        <f>IF($B59&lt;&gt;"",VLOOKUP($B59,Matriz_INM,2,0),0)</f>
        <v>0</v>
      </c>
      <c r="D59" s="44"/>
      <c r="E59" s="44"/>
      <c r="F59" s="44"/>
      <c r="G59" s="44"/>
      <c r="H59" s="45"/>
      <c r="I59" s="156" t="str">
        <f>IFERROR(VLOOKUP($B59,Matriz_INM,3,0),"")</f>
        <v/>
      </c>
      <c r="J59" s="57"/>
      <c r="K59" s="57"/>
      <c r="L59" s="57"/>
      <c r="M59" s="44"/>
      <c r="N59" s="45" t="str">
        <f t="shared" si="0"/>
        <v/>
      </c>
      <c r="O59" s="45" t="str">
        <f t="shared" si="1"/>
        <v/>
      </c>
      <c r="P59" s="149" t="str">
        <f t="shared" si="2"/>
        <v/>
      </c>
      <c r="Q59" s="157">
        <f t="shared" si="3"/>
        <v>0</v>
      </c>
      <c r="R59" s="157">
        <f t="shared" si="4"/>
        <v>0</v>
      </c>
      <c r="S59" s="149">
        <f t="shared" si="5"/>
        <v>0</v>
      </c>
      <c r="T59" s="44"/>
    </row>
    <row r="60" spans="1:20" s="46" customFormat="1" ht="14.25" customHeight="1">
      <c r="A60" s="38"/>
      <c r="B60" s="56"/>
      <c r="C60" s="155">
        <f>IF($B60&lt;&gt;"",VLOOKUP($B60,Matriz_INM,2,0),0)</f>
        <v>0</v>
      </c>
      <c r="D60" s="44"/>
      <c r="E60" s="44"/>
      <c r="F60" s="44"/>
      <c r="G60" s="44"/>
      <c r="H60" s="45"/>
      <c r="I60" s="156" t="str">
        <f>IFERROR(VLOOKUP($B60,Matriz_INM,3,0),"")</f>
        <v/>
      </c>
      <c r="J60" s="57"/>
      <c r="K60" s="57"/>
      <c r="L60" s="57"/>
      <c r="M60" s="44"/>
      <c r="N60" s="45" t="str">
        <f t="shared" si="0"/>
        <v/>
      </c>
      <c r="O60" s="45" t="str">
        <f t="shared" si="1"/>
        <v/>
      </c>
      <c r="P60" s="149" t="str">
        <f t="shared" si="2"/>
        <v/>
      </c>
      <c r="Q60" s="157">
        <f t="shared" si="3"/>
        <v>0</v>
      </c>
      <c r="R60" s="157">
        <f t="shared" si="4"/>
        <v>0</v>
      </c>
      <c r="S60" s="149">
        <f t="shared" si="5"/>
        <v>0</v>
      </c>
      <c r="T60" s="44"/>
    </row>
    <row r="61" spans="1:20" s="46" customFormat="1" ht="14.25" customHeight="1">
      <c r="A61" s="38"/>
      <c r="B61" s="56"/>
      <c r="C61" s="155">
        <f>IF($B61&lt;&gt;"",VLOOKUP($B61,Matriz_INM,2,0),0)</f>
        <v>0</v>
      </c>
      <c r="D61" s="44"/>
      <c r="E61" s="44"/>
      <c r="F61" s="44"/>
      <c r="G61" s="44"/>
      <c r="H61" s="45"/>
      <c r="I61" s="156" t="str">
        <f>IFERROR(VLOOKUP($B61,Matriz_INM,3,0),"")</f>
        <v/>
      </c>
      <c r="J61" s="57"/>
      <c r="K61" s="57"/>
      <c r="L61" s="57"/>
      <c r="M61" s="44"/>
      <c r="N61" s="45" t="str">
        <f t="shared" si="0"/>
        <v/>
      </c>
      <c r="O61" s="45" t="str">
        <f t="shared" si="1"/>
        <v/>
      </c>
      <c r="P61" s="149" t="str">
        <f t="shared" si="2"/>
        <v/>
      </c>
      <c r="Q61" s="157">
        <f t="shared" si="3"/>
        <v>0</v>
      </c>
      <c r="R61" s="157">
        <f t="shared" si="4"/>
        <v>0</v>
      </c>
      <c r="S61" s="149">
        <f t="shared" si="5"/>
        <v>0</v>
      </c>
      <c r="T61" s="44"/>
    </row>
    <row r="62" spans="1:20" s="46" customFormat="1" ht="14.25" customHeight="1">
      <c r="A62" s="38"/>
      <c r="B62" s="56"/>
      <c r="C62" s="155">
        <f>IF($B62&lt;&gt;"",VLOOKUP($B62,Matriz_INM,2,0),0)</f>
        <v>0</v>
      </c>
      <c r="D62" s="44"/>
      <c r="E62" s="44"/>
      <c r="F62" s="44"/>
      <c r="G62" s="44"/>
      <c r="H62" s="45"/>
      <c r="I62" s="156" t="str">
        <f>IFERROR(VLOOKUP($B62,Matriz_INM,3,0),"")</f>
        <v/>
      </c>
      <c r="J62" s="57"/>
      <c r="K62" s="57"/>
      <c r="L62" s="57"/>
      <c r="M62" s="44"/>
      <c r="N62" s="45" t="str">
        <f t="shared" si="0"/>
        <v/>
      </c>
      <c r="O62" s="45" t="str">
        <f t="shared" si="1"/>
        <v/>
      </c>
      <c r="P62" s="149" t="str">
        <f t="shared" si="2"/>
        <v/>
      </c>
      <c r="Q62" s="157">
        <f t="shared" si="3"/>
        <v>0</v>
      </c>
      <c r="R62" s="157">
        <f t="shared" si="4"/>
        <v>0</v>
      </c>
      <c r="S62" s="149">
        <f t="shared" si="5"/>
        <v>0</v>
      </c>
      <c r="T62" s="44"/>
    </row>
    <row r="63" spans="1:20" s="46" customFormat="1" ht="14.25" customHeight="1">
      <c r="A63" s="38"/>
      <c r="B63" s="56"/>
      <c r="C63" s="155">
        <f>IF($B63&lt;&gt;"",VLOOKUP($B63,Matriz_INM,2,0),0)</f>
        <v>0</v>
      </c>
      <c r="D63" s="44"/>
      <c r="E63" s="44"/>
      <c r="F63" s="44"/>
      <c r="G63" s="44"/>
      <c r="H63" s="45"/>
      <c r="I63" s="156" t="str">
        <f>IFERROR(VLOOKUP($B63,Matriz_INM,3,0),"")</f>
        <v/>
      </c>
      <c r="J63" s="57"/>
      <c r="K63" s="57"/>
      <c r="L63" s="57"/>
      <c r="M63" s="44"/>
      <c r="N63" s="45" t="str">
        <f t="shared" si="0"/>
        <v/>
      </c>
      <c r="O63" s="45" t="str">
        <f t="shared" si="1"/>
        <v/>
      </c>
      <c r="P63" s="149" t="str">
        <f t="shared" si="2"/>
        <v/>
      </c>
      <c r="Q63" s="157">
        <f t="shared" si="3"/>
        <v>0</v>
      </c>
      <c r="R63" s="157">
        <f t="shared" si="4"/>
        <v>0</v>
      </c>
      <c r="S63" s="149">
        <f t="shared" si="5"/>
        <v>0</v>
      </c>
      <c r="T63" s="44"/>
    </row>
    <row r="64" spans="1:20" s="46" customFormat="1" ht="14.25" customHeight="1">
      <c r="A64" s="38"/>
      <c r="B64" s="56"/>
      <c r="C64" s="155">
        <f>IF($B64&lt;&gt;"",VLOOKUP($B64,Matriz_INM,2,0),0)</f>
        <v>0</v>
      </c>
      <c r="D64" s="44"/>
      <c r="E64" s="44"/>
      <c r="F64" s="44"/>
      <c r="G64" s="44"/>
      <c r="H64" s="45"/>
      <c r="I64" s="156" t="str">
        <f>IFERROR(VLOOKUP($B64,Matriz_INM,3,0),"")</f>
        <v/>
      </c>
      <c r="J64" s="57"/>
      <c r="K64" s="57"/>
      <c r="L64" s="57"/>
      <c r="M64" s="44"/>
      <c r="N64" s="45" t="str">
        <f t="shared" si="0"/>
        <v/>
      </c>
      <c r="O64" s="45" t="str">
        <f t="shared" si="1"/>
        <v/>
      </c>
      <c r="P64" s="149" t="str">
        <f t="shared" si="2"/>
        <v/>
      </c>
      <c r="Q64" s="157">
        <f t="shared" si="3"/>
        <v>0</v>
      </c>
      <c r="R64" s="157">
        <f t="shared" si="4"/>
        <v>0</v>
      </c>
      <c r="S64" s="149">
        <f t="shared" si="5"/>
        <v>0</v>
      </c>
      <c r="T64" s="44"/>
    </row>
    <row r="65" spans="1:20" s="46" customFormat="1" ht="14.25" customHeight="1">
      <c r="A65" s="38"/>
      <c r="B65" s="56"/>
      <c r="C65" s="155">
        <f>IF($B65&lt;&gt;"",VLOOKUP($B65,Matriz_INM,2,0),0)</f>
        <v>0</v>
      </c>
      <c r="D65" s="44"/>
      <c r="E65" s="44"/>
      <c r="F65" s="44"/>
      <c r="G65" s="44"/>
      <c r="H65" s="45"/>
      <c r="I65" s="156" t="str">
        <f>IFERROR(VLOOKUP($B65,Matriz_INM,3,0),"")</f>
        <v/>
      </c>
      <c r="J65" s="57"/>
      <c r="K65" s="57"/>
      <c r="L65" s="57"/>
      <c r="M65" s="44"/>
      <c r="N65" s="45" t="str">
        <f t="shared" si="0"/>
        <v/>
      </c>
      <c r="O65" s="45" t="str">
        <f t="shared" si="1"/>
        <v/>
      </c>
      <c r="P65" s="149" t="str">
        <f t="shared" si="2"/>
        <v/>
      </c>
      <c r="Q65" s="157">
        <f t="shared" si="3"/>
        <v>0</v>
      </c>
      <c r="R65" s="157">
        <f t="shared" si="4"/>
        <v>0</v>
      </c>
      <c r="S65" s="149">
        <f t="shared" si="5"/>
        <v>0</v>
      </c>
      <c r="T65" s="44"/>
    </row>
    <row r="66" spans="1:20" s="46" customFormat="1" ht="14.25" customHeight="1">
      <c r="A66" s="38"/>
      <c r="B66" s="56"/>
      <c r="C66" s="155">
        <f>IF($B66&lt;&gt;"",VLOOKUP($B66,Matriz_INM,2,0),0)</f>
        <v>0</v>
      </c>
      <c r="D66" s="44"/>
      <c r="E66" s="44"/>
      <c r="F66" s="44"/>
      <c r="G66" s="44"/>
      <c r="H66" s="45"/>
      <c r="I66" s="156" t="str">
        <f>IFERROR(VLOOKUP($B66,Matriz_INM,3,0),"")</f>
        <v/>
      </c>
      <c r="J66" s="57"/>
      <c r="K66" s="57"/>
      <c r="L66" s="57"/>
      <c r="M66" s="44"/>
      <c r="N66" s="45" t="str">
        <f t="shared" si="0"/>
        <v/>
      </c>
      <c r="O66" s="45" t="str">
        <f t="shared" si="1"/>
        <v/>
      </c>
      <c r="P66" s="149" t="str">
        <f t="shared" si="2"/>
        <v/>
      </c>
      <c r="Q66" s="157">
        <f t="shared" si="3"/>
        <v>0</v>
      </c>
      <c r="R66" s="157">
        <f t="shared" si="4"/>
        <v>0</v>
      </c>
      <c r="S66" s="149">
        <f t="shared" si="5"/>
        <v>0</v>
      </c>
      <c r="T66" s="44"/>
    </row>
    <row r="67" spans="1:20" s="46" customFormat="1" ht="14.25" customHeight="1">
      <c r="A67" s="38"/>
      <c r="B67" s="56"/>
      <c r="C67" s="155">
        <f>IF($B67&lt;&gt;"",VLOOKUP($B67,Matriz_INM,2,0),0)</f>
        <v>0</v>
      </c>
      <c r="D67" s="44"/>
      <c r="E67" s="44"/>
      <c r="F67" s="44"/>
      <c r="G67" s="44"/>
      <c r="H67" s="45"/>
      <c r="I67" s="156" t="str">
        <f>IFERROR(VLOOKUP($B67,Matriz_INM,3,0),"")</f>
        <v/>
      </c>
      <c r="J67" s="57"/>
      <c r="K67" s="57"/>
      <c r="L67" s="57"/>
      <c r="M67" s="44"/>
      <c r="N67" s="45" t="str">
        <f t="shared" si="0"/>
        <v/>
      </c>
      <c r="O67" s="45" t="str">
        <f t="shared" si="1"/>
        <v/>
      </c>
      <c r="P67" s="149" t="str">
        <f t="shared" si="2"/>
        <v/>
      </c>
      <c r="Q67" s="157">
        <f t="shared" si="3"/>
        <v>0</v>
      </c>
      <c r="R67" s="157">
        <f t="shared" si="4"/>
        <v>0</v>
      </c>
      <c r="S67" s="149">
        <f t="shared" si="5"/>
        <v>0</v>
      </c>
      <c r="T67" s="44"/>
    </row>
    <row r="68" spans="1:20" s="46" customFormat="1" ht="14.25" customHeight="1">
      <c r="A68" s="38"/>
      <c r="B68" s="56"/>
      <c r="C68" s="155">
        <f>IF($B68&lt;&gt;"",VLOOKUP($B68,Matriz_INM,2,0),0)</f>
        <v>0</v>
      </c>
      <c r="D68" s="44"/>
      <c r="E68" s="44"/>
      <c r="F68" s="44"/>
      <c r="G68" s="44"/>
      <c r="H68" s="45"/>
      <c r="I68" s="156" t="str">
        <f>IFERROR(VLOOKUP($B68,Matriz_INM,3,0),"")</f>
        <v/>
      </c>
      <c r="J68" s="57"/>
      <c r="K68" s="57"/>
      <c r="L68" s="57"/>
      <c r="M68" s="44"/>
      <c r="N68" s="45" t="str">
        <f t="shared" si="0"/>
        <v/>
      </c>
      <c r="O68" s="45" t="str">
        <f t="shared" si="1"/>
        <v/>
      </c>
      <c r="P68" s="149" t="str">
        <f t="shared" si="2"/>
        <v/>
      </c>
      <c r="Q68" s="157">
        <f t="shared" si="3"/>
        <v>0</v>
      </c>
      <c r="R68" s="157">
        <f t="shared" si="4"/>
        <v>0</v>
      </c>
      <c r="S68" s="149">
        <f t="shared" si="5"/>
        <v>0</v>
      </c>
      <c r="T68" s="44"/>
    </row>
    <row r="69" spans="1:20" s="46" customFormat="1" ht="14.25" customHeight="1">
      <c r="A69" s="38"/>
      <c r="B69" s="56"/>
      <c r="C69" s="155">
        <f>IF($B69&lt;&gt;"",VLOOKUP($B69,Matriz_INM,2,0),0)</f>
        <v>0</v>
      </c>
      <c r="D69" s="44"/>
      <c r="E69" s="44"/>
      <c r="F69" s="44"/>
      <c r="G69" s="44"/>
      <c r="H69" s="45"/>
      <c r="I69" s="156" t="str">
        <f>IFERROR(VLOOKUP($B69,Matriz_INM,3,0),"")</f>
        <v/>
      </c>
      <c r="J69" s="57"/>
      <c r="K69" s="57"/>
      <c r="L69" s="57"/>
      <c r="M69" s="44"/>
      <c r="N69" s="45" t="str">
        <f t="shared" si="0"/>
        <v/>
      </c>
      <c r="O69" s="45" t="str">
        <f t="shared" si="1"/>
        <v/>
      </c>
      <c r="P69" s="149" t="str">
        <f t="shared" si="2"/>
        <v/>
      </c>
      <c r="Q69" s="157">
        <f t="shared" si="3"/>
        <v>0</v>
      </c>
      <c r="R69" s="157">
        <f t="shared" si="4"/>
        <v>0</v>
      </c>
      <c r="S69" s="149">
        <f t="shared" si="5"/>
        <v>0</v>
      </c>
      <c r="T69" s="44"/>
    </row>
    <row r="70" spans="1:20" s="46" customFormat="1" ht="14.25" customHeight="1">
      <c r="A70" s="38"/>
      <c r="B70" s="56"/>
      <c r="C70" s="155">
        <f>IF($B70&lt;&gt;"",VLOOKUP($B70,Matriz_INM,2,0),0)</f>
        <v>0</v>
      </c>
      <c r="D70" s="44"/>
      <c r="E70" s="44"/>
      <c r="F70" s="44"/>
      <c r="G70" s="44"/>
      <c r="H70" s="45"/>
      <c r="I70" s="156" t="str">
        <f>IFERROR(VLOOKUP($B70,Matriz_INM,3,0),"")</f>
        <v/>
      </c>
      <c r="J70" s="57"/>
      <c r="K70" s="57"/>
      <c r="L70" s="57"/>
      <c r="M70" s="44"/>
      <c r="N70" s="45" t="str">
        <f t="shared" si="0"/>
        <v/>
      </c>
      <c r="O70" s="45" t="str">
        <f t="shared" si="1"/>
        <v/>
      </c>
      <c r="P70" s="149" t="str">
        <f t="shared" si="2"/>
        <v/>
      </c>
      <c r="Q70" s="157">
        <f t="shared" si="3"/>
        <v>0</v>
      </c>
      <c r="R70" s="157">
        <f t="shared" si="4"/>
        <v>0</v>
      </c>
      <c r="S70" s="149">
        <f t="shared" si="5"/>
        <v>0</v>
      </c>
      <c r="T70" s="44"/>
    </row>
    <row r="71" spans="1:20" s="46" customFormat="1" ht="14.25" customHeight="1">
      <c r="A71" s="38"/>
      <c r="B71" s="56"/>
      <c r="C71" s="155">
        <f>IF($B71&lt;&gt;"",VLOOKUP($B71,Matriz_INM,2,0),0)</f>
        <v>0</v>
      </c>
      <c r="D71" s="44"/>
      <c r="E71" s="44"/>
      <c r="F71" s="44"/>
      <c r="G71" s="44"/>
      <c r="H71" s="45"/>
      <c r="I71" s="156" t="str">
        <f>IFERROR(VLOOKUP($B71,Matriz_INM,3,0),"")</f>
        <v/>
      </c>
      <c r="J71" s="57"/>
      <c r="K71" s="57"/>
      <c r="L71" s="57"/>
      <c r="M71" s="44"/>
      <c r="N71" s="45" t="str">
        <f t="shared" si="0"/>
        <v/>
      </c>
      <c r="O71" s="45" t="str">
        <f t="shared" si="1"/>
        <v/>
      </c>
      <c r="P71" s="149" t="str">
        <f t="shared" si="2"/>
        <v/>
      </c>
      <c r="Q71" s="157">
        <f t="shared" si="3"/>
        <v>0</v>
      </c>
      <c r="R71" s="157">
        <f t="shared" si="4"/>
        <v>0</v>
      </c>
      <c r="S71" s="149">
        <f t="shared" si="5"/>
        <v>0</v>
      </c>
      <c r="T71" s="44"/>
    </row>
    <row r="72" spans="1:20" s="46" customFormat="1" ht="14.25" customHeight="1">
      <c r="A72" s="38"/>
      <c r="B72" s="56"/>
      <c r="C72" s="155">
        <f>IF($B72&lt;&gt;"",VLOOKUP($B72,Matriz_INM,2,0),0)</f>
        <v>0</v>
      </c>
      <c r="D72" s="44"/>
      <c r="E72" s="44"/>
      <c r="F72" s="44"/>
      <c r="G72" s="44"/>
      <c r="H72" s="45"/>
      <c r="I72" s="156" t="str">
        <f>IFERROR(VLOOKUP($B72,Matriz_INM,3,0),"")</f>
        <v/>
      </c>
      <c r="J72" s="57"/>
      <c r="K72" s="57"/>
      <c r="L72" s="57"/>
      <c r="M72" s="44"/>
      <c r="N72" s="45" t="str">
        <f t="shared" si="0"/>
        <v/>
      </c>
      <c r="O72" s="45" t="str">
        <f t="shared" si="1"/>
        <v/>
      </c>
      <c r="P72" s="149" t="str">
        <f t="shared" si="2"/>
        <v/>
      </c>
      <c r="Q72" s="157">
        <f t="shared" si="3"/>
        <v>0</v>
      </c>
      <c r="R72" s="157">
        <f t="shared" si="4"/>
        <v>0</v>
      </c>
      <c r="S72" s="149">
        <f t="shared" si="5"/>
        <v>0</v>
      </c>
      <c r="T72" s="44"/>
    </row>
    <row r="73" spans="1:20" s="46" customFormat="1" ht="14.25" customHeight="1">
      <c r="A73" s="38"/>
      <c r="B73" s="56"/>
      <c r="C73" s="155">
        <f>IF($B73&lt;&gt;"",VLOOKUP($B73,Matriz_INM,2,0),0)</f>
        <v>0</v>
      </c>
      <c r="D73" s="44"/>
      <c r="E73" s="44"/>
      <c r="F73" s="44"/>
      <c r="G73" s="44"/>
      <c r="H73" s="45"/>
      <c r="I73" s="156" t="str">
        <f>IFERROR(VLOOKUP($B73,Matriz_INM,3,0),"")</f>
        <v/>
      </c>
      <c r="J73" s="57"/>
      <c r="K73" s="57"/>
      <c r="L73" s="57"/>
      <c r="M73" s="44"/>
      <c r="N73" s="45" t="str">
        <f t="shared" si="0"/>
        <v/>
      </c>
      <c r="O73" s="45" t="str">
        <f t="shared" si="1"/>
        <v/>
      </c>
      <c r="P73" s="149" t="str">
        <f t="shared" si="2"/>
        <v/>
      </c>
      <c r="Q73" s="157">
        <f t="shared" si="3"/>
        <v>0</v>
      </c>
      <c r="R73" s="157">
        <f t="shared" si="4"/>
        <v>0</v>
      </c>
      <c r="S73" s="149">
        <f t="shared" si="5"/>
        <v>0</v>
      </c>
      <c r="T73" s="44"/>
    </row>
    <row r="74" spans="1:20" s="46" customFormat="1" ht="14.25" customHeight="1">
      <c r="A74" s="38"/>
      <c r="B74" s="56"/>
      <c r="C74" s="155">
        <f>IF($B74&lt;&gt;"",VLOOKUP($B74,Matriz_INM,2,0),0)</f>
        <v>0</v>
      </c>
      <c r="D74" s="44"/>
      <c r="E74" s="44"/>
      <c r="F74" s="44"/>
      <c r="G74" s="44"/>
      <c r="H74" s="45"/>
      <c r="I74" s="156" t="str">
        <f>IFERROR(VLOOKUP($B74,Matriz_INM,3,0),"")</f>
        <v/>
      </c>
      <c r="J74" s="57"/>
      <c r="K74" s="57"/>
      <c r="L74" s="57"/>
      <c r="M74" s="44"/>
      <c r="N74" s="45" t="str">
        <f t="shared" si="0"/>
        <v/>
      </c>
      <c r="O74" s="45" t="str">
        <f t="shared" si="1"/>
        <v/>
      </c>
      <c r="P74" s="149" t="str">
        <f t="shared" si="2"/>
        <v/>
      </c>
      <c r="Q74" s="157">
        <f t="shared" si="3"/>
        <v>0</v>
      </c>
      <c r="R74" s="157">
        <f t="shared" si="4"/>
        <v>0</v>
      </c>
      <c r="S74" s="149">
        <f t="shared" si="5"/>
        <v>0</v>
      </c>
      <c r="T74" s="44"/>
    </row>
    <row r="75" spans="1:20" s="46" customFormat="1" ht="14.25" customHeight="1">
      <c r="A75" s="38"/>
      <c r="B75" s="56"/>
      <c r="C75" s="155">
        <f>IF($B75&lt;&gt;"",VLOOKUP($B75,Matriz_INM,2,0),0)</f>
        <v>0</v>
      </c>
      <c r="D75" s="44"/>
      <c r="E75" s="44"/>
      <c r="F75" s="44"/>
      <c r="G75" s="44"/>
      <c r="H75" s="45"/>
      <c r="I75" s="156" t="str">
        <f>IFERROR(VLOOKUP($B75,Matriz_INM,3,0),"")</f>
        <v/>
      </c>
      <c r="J75" s="57"/>
      <c r="K75" s="57"/>
      <c r="L75" s="57"/>
      <c r="M75" s="44"/>
      <c r="N75" s="45" t="str">
        <f t="shared" ref="N75:N138" si="6">IF(M75="EE",IF(OR(AND(OR(L75=1,L75=0),K75&gt;0,K75&lt;5),AND(OR(L75=1,L75=0),K75&gt;4,K75&lt;16),AND(L75=2,K75&gt;0,K75&lt;5)),"Simples",IF(OR(AND(OR(L75=1,L75=0),K75&gt;15),AND(L75=2,K75&gt;4,K75&lt;16),AND(L75&gt;2,K75&gt;0,K75&lt;5)),"Médio",IF(OR(AND(L75=2,K75&gt;15),AND(L75&gt;2,K75&gt;4,K75&lt;16),AND(L75&gt;2,K75&gt;15)),"Complexo",""))),
IF(OR(M75="CE",M75="SE"),IF(OR(AND(OR(L75=1,L75=0),K75&gt;0,K75&lt;6),AND(OR(L75=1,L75=0),K75&gt;5,K75&lt;20),AND(L75&gt;1,L75&lt;4,K75&gt;0,K75&lt;6)),"Simples",IF(OR(AND(OR(L75=1,L75=0),K75&gt;19),AND(L75&gt;1,L75&lt;4,K75&gt;5,K75&lt;20),AND(L75&gt;3,K75&gt;0,K75&lt;6)),"Médio",IF(OR(AND(L75&gt;1,L75&lt;4,K75&gt;19),AND(L75&gt;3,K75&gt;5,K75&lt;20),AND(L75&gt;3,K75&gt;19)),"Complexo",""))),""))</f>
        <v/>
      </c>
      <c r="O75" s="45" t="str">
        <f t="shared" ref="O75:O138" si="7">IF(M75="ALI",IF(OR(AND(OR(L75=1,L75=0),K75&gt;0,K75&lt;20),AND(OR(L75=1,L75=0),K75&gt;19,K75&lt;51),AND(L75&gt;1,L75&lt;6,K75&gt;0,K75&lt;20)),"Simples",IF(OR(AND(OR(L75=1,L75=0),K75&gt;50),AND(L75&gt;1,L75&lt;6,K75&gt;19,K75&lt;51),AND(L75&gt;5,K75&gt;0,K75&lt;20)),"Médio",IF(OR(AND(L75&gt;1,L75&lt;6,K75&gt;50),AND(L75&gt;5,K75&gt;19,K75&lt;51),AND(L75&gt;5,K75&gt;50)),"Complexo",""))),
IF(M75="AIE",IF(OR(AND(OR(L75=1, L75=0),K75&gt;0,K75&lt;20),AND(OR(L75=1, L75=0),K75&gt;19,K75&lt;51),AND(L75&gt;1,L75&lt;6,K75&gt;0,K75&lt;20)),"Simples",IF(OR(AND(OR(L75=1, L75=0),K75&gt;50),AND(L75&gt;1,L75&lt;6,K75&gt;19,K75&lt;51),AND(L75&gt;5,K75&gt;0,K75&lt;20)),"Médio",IF(OR(AND(L75&gt;1,L75&lt;6,K75&gt;50),AND(L75&gt;5,K75&gt;19,K75&lt;51),AND(L75&gt;5,K75&gt;50)),"Complexo",""))),""))</f>
        <v/>
      </c>
      <c r="P75" s="149" t="str">
        <f t="shared" ref="P75:P138" si="8">IF(N75="",O75,IF(O75="",N75,""))</f>
        <v/>
      </c>
      <c r="Q75" s="157">
        <f t="shared" ref="Q75:Q138" si="9">IF(AND(OR(M75="EE",M75="CE"),P75="Simples"),3,
IF(AND(OR(M75="EE",M75="CE"),P75="Médio"),4,
IF(AND(OR(M75="EE",M75="CE"),P75="Complexo"),6,
IF(AND(M75="SE",P75="Simples"),4,
IF(AND(M75="SE",P75="Médio"),5,
IF(AND(M75="SE",P75="Complexo"),7,0))))))</f>
        <v>0</v>
      </c>
      <c r="R75" s="157">
        <f t="shared" ref="R75:R138" si="10">IF(AND(M75="ALI",O75="Simples"),7,
IF(AND(M75="ALI",O75="Médio"),10,
IF(AND(M75="ALI",O75="Complexo"),15,
IF(AND(M75="AIE",O75="Simples"),5,
IF(AND(M75="AIE",O75="Médio"),7,
IF(AND(M75="AIE",O75="Complexo"),10,0))))))</f>
        <v>0</v>
      </c>
      <c r="S75" s="149">
        <f t="shared" si="5"/>
        <v>0</v>
      </c>
      <c r="T75" s="44"/>
    </row>
    <row r="76" spans="1:20" s="46" customFormat="1" ht="14.25" customHeight="1">
      <c r="A76" s="38"/>
      <c r="B76" s="56"/>
      <c r="C76" s="155">
        <f>IF($B76&lt;&gt;"",VLOOKUP($B76,Matriz_INM,2,0),0)</f>
        <v>0</v>
      </c>
      <c r="D76" s="44"/>
      <c r="E76" s="44"/>
      <c r="F76" s="44"/>
      <c r="G76" s="44"/>
      <c r="H76" s="45"/>
      <c r="I76" s="156" t="str">
        <f>IFERROR(VLOOKUP($B76,Matriz_INM,3,0),"")</f>
        <v/>
      </c>
      <c r="J76" s="57"/>
      <c r="K76" s="57"/>
      <c r="L76" s="57"/>
      <c r="M76" s="44"/>
      <c r="N76" s="45" t="str">
        <f t="shared" si="6"/>
        <v/>
      </c>
      <c r="O76" s="45" t="str">
        <f t="shared" si="7"/>
        <v/>
      </c>
      <c r="P76" s="149" t="str">
        <f t="shared" si="8"/>
        <v/>
      </c>
      <c r="Q76" s="157">
        <f t="shared" si="9"/>
        <v>0</v>
      </c>
      <c r="R76" s="157">
        <f t="shared" si="10"/>
        <v>0</v>
      </c>
      <c r="S76" s="149">
        <f t="shared" ref="S76:S139" si="11">IF($I76="%",($Q76+$R76)*$C76,$C76)</f>
        <v>0</v>
      </c>
      <c r="T76" s="44"/>
    </row>
    <row r="77" spans="1:20" s="46" customFormat="1" ht="14.25" customHeight="1">
      <c r="A77" s="38"/>
      <c r="B77" s="56"/>
      <c r="C77" s="155">
        <f>IF($B77&lt;&gt;"",VLOOKUP($B77,Matriz_INM,2,0),0)</f>
        <v>0</v>
      </c>
      <c r="D77" s="44"/>
      <c r="E77" s="44"/>
      <c r="F77" s="44"/>
      <c r="G77" s="44"/>
      <c r="H77" s="45"/>
      <c r="I77" s="156" t="str">
        <f>IFERROR(VLOOKUP($B77,Matriz_INM,3,0),"")</f>
        <v/>
      </c>
      <c r="J77" s="57"/>
      <c r="K77" s="57"/>
      <c r="L77" s="57"/>
      <c r="M77" s="44"/>
      <c r="N77" s="45" t="str">
        <f t="shared" si="6"/>
        <v/>
      </c>
      <c r="O77" s="45" t="str">
        <f t="shared" si="7"/>
        <v/>
      </c>
      <c r="P77" s="149" t="str">
        <f t="shared" si="8"/>
        <v/>
      </c>
      <c r="Q77" s="157">
        <f t="shared" si="9"/>
        <v>0</v>
      </c>
      <c r="R77" s="157">
        <f t="shared" si="10"/>
        <v>0</v>
      </c>
      <c r="S77" s="149">
        <f t="shared" si="11"/>
        <v>0</v>
      </c>
      <c r="T77" s="44"/>
    </row>
    <row r="78" spans="1:20" s="46" customFormat="1" ht="14.25" customHeight="1">
      <c r="A78" s="38"/>
      <c r="B78" s="56"/>
      <c r="C78" s="155">
        <f>IF($B78&lt;&gt;"",VLOOKUP($B78,Matriz_INM,2,0),0)</f>
        <v>0</v>
      </c>
      <c r="D78" s="44"/>
      <c r="E78" s="44"/>
      <c r="F78" s="44"/>
      <c r="G78" s="44"/>
      <c r="H78" s="45"/>
      <c r="I78" s="156" t="str">
        <f>IFERROR(VLOOKUP($B78,Matriz_INM,3,0),"")</f>
        <v/>
      </c>
      <c r="J78" s="57"/>
      <c r="K78" s="57"/>
      <c r="L78" s="57"/>
      <c r="M78" s="44"/>
      <c r="N78" s="45" t="str">
        <f t="shared" si="6"/>
        <v/>
      </c>
      <c r="O78" s="45" t="str">
        <f t="shared" si="7"/>
        <v/>
      </c>
      <c r="P78" s="149" t="str">
        <f t="shared" si="8"/>
        <v/>
      </c>
      <c r="Q78" s="157">
        <f t="shared" si="9"/>
        <v>0</v>
      </c>
      <c r="R78" s="157">
        <f t="shared" si="10"/>
        <v>0</v>
      </c>
      <c r="S78" s="149">
        <f t="shared" si="11"/>
        <v>0</v>
      </c>
      <c r="T78" s="44"/>
    </row>
    <row r="79" spans="1:20" s="46" customFormat="1" ht="14.25" customHeight="1">
      <c r="A79" s="38"/>
      <c r="B79" s="56"/>
      <c r="C79" s="155">
        <f>IF($B79&lt;&gt;"",VLOOKUP($B79,Matriz_INM,2,0),0)</f>
        <v>0</v>
      </c>
      <c r="D79" s="44"/>
      <c r="E79" s="44"/>
      <c r="F79" s="44"/>
      <c r="G79" s="44"/>
      <c r="H79" s="45"/>
      <c r="I79" s="156" t="str">
        <f>IFERROR(VLOOKUP($B79,Matriz_INM,3,0),"")</f>
        <v/>
      </c>
      <c r="J79" s="57"/>
      <c r="K79" s="57"/>
      <c r="L79" s="57"/>
      <c r="M79" s="44"/>
      <c r="N79" s="45" t="str">
        <f t="shared" si="6"/>
        <v/>
      </c>
      <c r="O79" s="45" t="str">
        <f t="shared" si="7"/>
        <v/>
      </c>
      <c r="P79" s="149" t="str">
        <f t="shared" si="8"/>
        <v/>
      </c>
      <c r="Q79" s="157">
        <f t="shared" si="9"/>
        <v>0</v>
      </c>
      <c r="R79" s="157">
        <f t="shared" si="10"/>
        <v>0</v>
      </c>
      <c r="S79" s="149">
        <f t="shared" si="11"/>
        <v>0</v>
      </c>
      <c r="T79" s="44"/>
    </row>
    <row r="80" spans="1:20" s="46" customFormat="1" ht="14.25" customHeight="1">
      <c r="A80" s="38"/>
      <c r="B80" s="56"/>
      <c r="C80" s="155">
        <f>IF($B80&lt;&gt;"",VLOOKUP($B80,Matriz_INM,2,0),0)</f>
        <v>0</v>
      </c>
      <c r="D80" s="44"/>
      <c r="E80" s="44"/>
      <c r="F80" s="44"/>
      <c r="G80" s="44"/>
      <c r="H80" s="45"/>
      <c r="I80" s="156" t="str">
        <f>IFERROR(VLOOKUP($B80,Matriz_INM,3,0),"")</f>
        <v/>
      </c>
      <c r="J80" s="57"/>
      <c r="K80" s="57"/>
      <c r="L80" s="57"/>
      <c r="M80" s="44"/>
      <c r="N80" s="45" t="str">
        <f t="shared" si="6"/>
        <v/>
      </c>
      <c r="O80" s="45" t="str">
        <f t="shared" si="7"/>
        <v/>
      </c>
      <c r="P80" s="149" t="str">
        <f t="shared" si="8"/>
        <v/>
      </c>
      <c r="Q80" s="157">
        <f t="shared" si="9"/>
        <v>0</v>
      </c>
      <c r="R80" s="157">
        <f t="shared" si="10"/>
        <v>0</v>
      </c>
      <c r="S80" s="149">
        <f t="shared" si="11"/>
        <v>0</v>
      </c>
      <c r="T80" s="44"/>
    </row>
    <row r="81" spans="1:20" s="46" customFormat="1" ht="14.25" customHeight="1">
      <c r="A81" s="38"/>
      <c r="B81" s="56"/>
      <c r="C81" s="155">
        <f>IF($B81&lt;&gt;"",VLOOKUP($B81,Matriz_INM,2,0),0)</f>
        <v>0</v>
      </c>
      <c r="D81" s="44"/>
      <c r="E81" s="44"/>
      <c r="F81" s="44"/>
      <c r="G81" s="44"/>
      <c r="H81" s="45"/>
      <c r="I81" s="156" t="str">
        <f>IFERROR(VLOOKUP($B81,Matriz_INM,3,0),"")</f>
        <v/>
      </c>
      <c r="J81" s="57"/>
      <c r="K81" s="57"/>
      <c r="L81" s="57"/>
      <c r="M81" s="44"/>
      <c r="N81" s="45" t="str">
        <f t="shared" si="6"/>
        <v/>
      </c>
      <c r="O81" s="45" t="str">
        <f t="shared" si="7"/>
        <v/>
      </c>
      <c r="P81" s="149" t="str">
        <f t="shared" si="8"/>
        <v/>
      </c>
      <c r="Q81" s="157">
        <f t="shared" si="9"/>
        <v>0</v>
      </c>
      <c r="R81" s="157">
        <f t="shared" si="10"/>
        <v>0</v>
      </c>
      <c r="S81" s="149">
        <f t="shared" si="11"/>
        <v>0</v>
      </c>
      <c r="T81" s="44"/>
    </row>
    <row r="82" spans="1:20" s="46" customFormat="1" ht="14.25" customHeight="1">
      <c r="A82" s="38"/>
      <c r="B82" s="56"/>
      <c r="C82" s="155">
        <f>IF($B82&lt;&gt;"",VLOOKUP($B82,Matriz_INM,2,0),0)</f>
        <v>0</v>
      </c>
      <c r="D82" s="44"/>
      <c r="E82" s="44"/>
      <c r="F82" s="44"/>
      <c r="G82" s="44"/>
      <c r="H82" s="45"/>
      <c r="I82" s="156" t="str">
        <f>IFERROR(VLOOKUP($B82,Matriz_INM,3,0),"")</f>
        <v/>
      </c>
      <c r="J82" s="57"/>
      <c r="K82" s="57"/>
      <c r="L82" s="57"/>
      <c r="M82" s="44"/>
      <c r="N82" s="45" t="str">
        <f t="shared" si="6"/>
        <v/>
      </c>
      <c r="O82" s="45" t="str">
        <f t="shared" si="7"/>
        <v/>
      </c>
      <c r="P82" s="149" t="str">
        <f t="shared" si="8"/>
        <v/>
      </c>
      <c r="Q82" s="157">
        <f t="shared" si="9"/>
        <v>0</v>
      </c>
      <c r="R82" s="157">
        <f t="shared" si="10"/>
        <v>0</v>
      </c>
      <c r="S82" s="149">
        <f t="shared" si="11"/>
        <v>0</v>
      </c>
      <c r="T82" s="44"/>
    </row>
    <row r="83" spans="1:20" s="46" customFormat="1" ht="14.25" customHeight="1">
      <c r="A83" s="38"/>
      <c r="B83" s="56"/>
      <c r="C83" s="155">
        <f>IF($B83&lt;&gt;"",VLOOKUP($B83,Matriz_INM,2,0),0)</f>
        <v>0</v>
      </c>
      <c r="D83" s="44"/>
      <c r="E83" s="44"/>
      <c r="F83" s="44"/>
      <c r="G83" s="44"/>
      <c r="H83" s="45"/>
      <c r="I83" s="156" t="str">
        <f>IFERROR(VLOOKUP($B83,Matriz_INM,3,0),"")</f>
        <v/>
      </c>
      <c r="J83" s="57"/>
      <c r="K83" s="57"/>
      <c r="L83" s="57"/>
      <c r="M83" s="44"/>
      <c r="N83" s="45" t="str">
        <f t="shared" si="6"/>
        <v/>
      </c>
      <c r="O83" s="45" t="str">
        <f t="shared" si="7"/>
        <v/>
      </c>
      <c r="P83" s="149" t="str">
        <f t="shared" si="8"/>
        <v/>
      </c>
      <c r="Q83" s="157">
        <f t="shared" si="9"/>
        <v>0</v>
      </c>
      <c r="R83" s="157">
        <f t="shared" si="10"/>
        <v>0</v>
      </c>
      <c r="S83" s="149">
        <f t="shared" si="11"/>
        <v>0</v>
      </c>
      <c r="T83" s="44"/>
    </row>
    <row r="84" spans="1:20" s="46" customFormat="1" ht="14.25" customHeight="1">
      <c r="A84" s="38"/>
      <c r="B84" s="56"/>
      <c r="C84" s="155">
        <f>IF($B84&lt;&gt;"",VLOOKUP($B84,Matriz_INM,2,0),0)</f>
        <v>0</v>
      </c>
      <c r="D84" s="44"/>
      <c r="E84" s="44"/>
      <c r="F84" s="44"/>
      <c r="G84" s="44"/>
      <c r="H84" s="45"/>
      <c r="I84" s="156" t="str">
        <f>IFERROR(VLOOKUP($B84,Matriz_INM,3,0),"")</f>
        <v/>
      </c>
      <c r="J84" s="57"/>
      <c r="K84" s="57"/>
      <c r="L84" s="57"/>
      <c r="M84" s="44"/>
      <c r="N84" s="45" t="str">
        <f t="shared" si="6"/>
        <v/>
      </c>
      <c r="O84" s="45" t="str">
        <f t="shared" si="7"/>
        <v/>
      </c>
      <c r="P84" s="149" t="str">
        <f t="shared" si="8"/>
        <v/>
      </c>
      <c r="Q84" s="157">
        <f t="shared" si="9"/>
        <v>0</v>
      </c>
      <c r="R84" s="157">
        <f t="shared" si="10"/>
        <v>0</v>
      </c>
      <c r="S84" s="149">
        <f t="shared" si="11"/>
        <v>0</v>
      </c>
      <c r="T84" s="44"/>
    </row>
    <row r="85" spans="1:20" s="46" customFormat="1" ht="14.25" customHeight="1">
      <c r="A85" s="38"/>
      <c r="B85" s="56"/>
      <c r="C85" s="155">
        <f>IF($B85&lt;&gt;"",VLOOKUP($B85,Matriz_INM,2,0),0)</f>
        <v>0</v>
      </c>
      <c r="D85" s="44"/>
      <c r="E85" s="44"/>
      <c r="F85" s="44"/>
      <c r="G85" s="44"/>
      <c r="H85" s="45"/>
      <c r="I85" s="156" t="str">
        <f>IFERROR(VLOOKUP($B85,Matriz_INM,3,0),"")</f>
        <v/>
      </c>
      <c r="J85" s="57"/>
      <c r="K85" s="57"/>
      <c r="L85" s="57"/>
      <c r="M85" s="44"/>
      <c r="N85" s="45" t="str">
        <f t="shared" si="6"/>
        <v/>
      </c>
      <c r="O85" s="45" t="str">
        <f t="shared" si="7"/>
        <v/>
      </c>
      <c r="P85" s="149" t="str">
        <f t="shared" si="8"/>
        <v/>
      </c>
      <c r="Q85" s="157">
        <f t="shared" si="9"/>
        <v>0</v>
      </c>
      <c r="R85" s="157">
        <f t="shared" si="10"/>
        <v>0</v>
      </c>
      <c r="S85" s="149">
        <f t="shared" si="11"/>
        <v>0</v>
      </c>
      <c r="T85" s="44"/>
    </row>
    <row r="86" spans="1:20" s="46" customFormat="1" ht="14.25" customHeight="1">
      <c r="A86" s="38"/>
      <c r="B86" s="56"/>
      <c r="C86" s="155">
        <f>IF($B86&lt;&gt;"",VLOOKUP($B86,Matriz_INM,2,0),0)</f>
        <v>0</v>
      </c>
      <c r="D86" s="44"/>
      <c r="E86" s="44"/>
      <c r="F86" s="44"/>
      <c r="G86" s="44"/>
      <c r="H86" s="45"/>
      <c r="I86" s="156" t="str">
        <f>IFERROR(VLOOKUP($B86,Matriz_INM,3,0),"")</f>
        <v/>
      </c>
      <c r="J86" s="57"/>
      <c r="K86" s="57"/>
      <c r="L86" s="57"/>
      <c r="M86" s="44"/>
      <c r="N86" s="45" t="str">
        <f t="shared" si="6"/>
        <v/>
      </c>
      <c r="O86" s="45" t="str">
        <f t="shared" si="7"/>
        <v/>
      </c>
      <c r="P86" s="149" t="str">
        <f t="shared" si="8"/>
        <v/>
      </c>
      <c r="Q86" s="157">
        <f t="shared" si="9"/>
        <v>0</v>
      </c>
      <c r="R86" s="157">
        <f t="shared" si="10"/>
        <v>0</v>
      </c>
      <c r="S86" s="149">
        <f t="shared" si="11"/>
        <v>0</v>
      </c>
      <c r="T86" s="44"/>
    </row>
    <row r="87" spans="1:20" s="46" customFormat="1" ht="14.25" customHeight="1">
      <c r="A87" s="38"/>
      <c r="B87" s="56"/>
      <c r="C87" s="155">
        <f>IF($B87&lt;&gt;"",VLOOKUP($B87,Matriz_INM,2,0),0)</f>
        <v>0</v>
      </c>
      <c r="D87" s="44"/>
      <c r="E87" s="44"/>
      <c r="F87" s="44"/>
      <c r="G87" s="44"/>
      <c r="H87" s="45"/>
      <c r="I87" s="156" t="str">
        <f>IFERROR(VLOOKUP($B87,Matriz_INM,3,0),"")</f>
        <v/>
      </c>
      <c r="J87" s="57"/>
      <c r="K87" s="57"/>
      <c r="L87" s="57"/>
      <c r="M87" s="44"/>
      <c r="N87" s="45" t="str">
        <f t="shared" si="6"/>
        <v/>
      </c>
      <c r="O87" s="45" t="str">
        <f t="shared" si="7"/>
        <v/>
      </c>
      <c r="P87" s="149" t="str">
        <f t="shared" si="8"/>
        <v/>
      </c>
      <c r="Q87" s="157">
        <f t="shared" si="9"/>
        <v>0</v>
      </c>
      <c r="R87" s="157">
        <f t="shared" si="10"/>
        <v>0</v>
      </c>
      <c r="S87" s="149">
        <f t="shared" si="11"/>
        <v>0</v>
      </c>
      <c r="T87" s="44"/>
    </row>
    <row r="88" spans="1:20" s="46" customFormat="1" ht="14.25" customHeight="1">
      <c r="A88" s="38"/>
      <c r="B88" s="56"/>
      <c r="C88" s="155">
        <f>IF($B88&lt;&gt;"",VLOOKUP($B88,Matriz_INM,2,0),0)</f>
        <v>0</v>
      </c>
      <c r="D88" s="44"/>
      <c r="E88" s="44"/>
      <c r="F88" s="44"/>
      <c r="G88" s="44"/>
      <c r="H88" s="45"/>
      <c r="I88" s="156" t="str">
        <f>IFERROR(VLOOKUP($B88,Matriz_INM,3,0),"")</f>
        <v/>
      </c>
      <c r="J88" s="57"/>
      <c r="K88" s="57"/>
      <c r="L88" s="57"/>
      <c r="M88" s="44"/>
      <c r="N88" s="45" t="str">
        <f t="shared" si="6"/>
        <v/>
      </c>
      <c r="O88" s="45" t="str">
        <f t="shared" si="7"/>
        <v/>
      </c>
      <c r="P88" s="149" t="str">
        <f t="shared" si="8"/>
        <v/>
      </c>
      <c r="Q88" s="157">
        <f t="shared" si="9"/>
        <v>0</v>
      </c>
      <c r="R88" s="157">
        <f t="shared" si="10"/>
        <v>0</v>
      </c>
      <c r="S88" s="149">
        <f t="shared" si="11"/>
        <v>0</v>
      </c>
      <c r="T88" s="44"/>
    </row>
    <row r="89" spans="1:20" s="46" customFormat="1" ht="14.25" customHeight="1">
      <c r="A89" s="38"/>
      <c r="B89" s="56"/>
      <c r="C89" s="155">
        <f>IF($B89&lt;&gt;"",VLOOKUP($B89,Matriz_INM,2,0),0)</f>
        <v>0</v>
      </c>
      <c r="D89" s="44"/>
      <c r="E89" s="44"/>
      <c r="F89" s="44"/>
      <c r="G89" s="44"/>
      <c r="H89" s="45"/>
      <c r="I89" s="156" t="str">
        <f>IFERROR(VLOOKUP($B89,Matriz_INM,3,0),"")</f>
        <v/>
      </c>
      <c r="J89" s="57"/>
      <c r="K89" s="57"/>
      <c r="L89" s="57"/>
      <c r="M89" s="44"/>
      <c r="N89" s="45" t="str">
        <f t="shared" si="6"/>
        <v/>
      </c>
      <c r="O89" s="45" t="str">
        <f t="shared" si="7"/>
        <v/>
      </c>
      <c r="P89" s="149" t="str">
        <f t="shared" si="8"/>
        <v/>
      </c>
      <c r="Q89" s="157">
        <f t="shared" si="9"/>
        <v>0</v>
      </c>
      <c r="R89" s="157">
        <f t="shared" si="10"/>
        <v>0</v>
      </c>
      <c r="S89" s="149">
        <f t="shared" si="11"/>
        <v>0</v>
      </c>
      <c r="T89" s="44"/>
    </row>
    <row r="90" spans="1:20" s="46" customFormat="1" ht="14.25" customHeight="1">
      <c r="A90" s="38"/>
      <c r="B90" s="56"/>
      <c r="C90" s="155">
        <f>IF($B90&lt;&gt;"",VLOOKUP($B90,Matriz_INM,2,0),0)</f>
        <v>0</v>
      </c>
      <c r="D90" s="44"/>
      <c r="E90" s="44"/>
      <c r="F90" s="44"/>
      <c r="G90" s="44"/>
      <c r="H90" s="45"/>
      <c r="I90" s="156" t="str">
        <f>IFERROR(VLOOKUP($B90,Matriz_INM,3,0),"")</f>
        <v/>
      </c>
      <c r="J90" s="57"/>
      <c r="K90" s="57"/>
      <c r="L90" s="57"/>
      <c r="M90" s="44"/>
      <c r="N90" s="45" t="str">
        <f t="shared" si="6"/>
        <v/>
      </c>
      <c r="O90" s="45" t="str">
        <f t="shared" si="7"/>
        <v/>
      </c>
      <c r="P90" s="149" t="str">
        <f t="shared" si="8"/>
        <v/>
      </c>
      <c r="Q90" s="157">
        <f t="shared" si="9"/>
        <v>0</v>
      </c>
      <c r="R90" s="157">
        <f t="shared" si="10"/>
        <v>0</v>
      </c>
      <c r="S90" s="149">
        <f t="shared" si="11"/>
        <v>0</v>
      </c>
      <c r="T90" s="44"/>
    </row>
    <row r="91" spans="1:20" s="46" customFormat="1" ht="14.25" customHeight="1">
      <c r="A91" s="38"/>
      <c r="B91" s="56"/>
      <c r="C91" s="155">
        <f>IF($B91&lt;&gt;"",VLOOKUP($B91,Matriz_INM,2,0),0)</f>
        <v>0</v>
      </c>
      <c r="D91" s="44"/>
      <c r="E91" s="44"/>
      <c r="F91" s="44"/>
      <c r="G91" s="44"/>
      <c r="H91" s="45"/>
      <c r="I91" s="156" t="str">
        <f>IFERROR(VLOOKUP($B91,Matriz_INM,3,0),"")</f>
        <v/>
      </c>
      <c r="J91" s="57"/>
      <c r="K91" s="57"/>
      <c r="L91" s="57"/>
      <c r="M91" s="44"/>
      <c r="N91" s="45" t="str">
        <f t="shared" si="6"/>
        <v/>
      </c>
      <c r="O91" s="45" t="str">
        <f t="shared" si="7"/>
        <v/>
      </c>
      <c r="P91" s="149" t="str">
        <f t="shared" si="8"/>
        <v/>
      </c>
      <c r="Q91" s="157">
        <f t="shared" si="9"/>
        <v>0</v>
      </c>
      <c r="R91" s="157">
        <f t="shared" si="10"/>
        <v>0</v>
      </c>
      <c r="S91" s="149">
        <f t="shared" si="11"/>
        <v>0</v>
      </c>
      <c r="T91" s="44"/>
    </row>
    <row r="92" spans="1:20" s="46" customFormat="1" ht="14.25" customHeight="1">
      <c r="A92" s="38"/>
      <c r="B92" s="56"/>
      <c r="C92" s="155">
        <f>IF($B92&lt;&gt;"",VLOOKUP($B92,Matriz_INM,2,0),0)</f>
        <v>0</v>
      </c>
      <c r="D92" s="44"/>
      <c r="E92" s="44"/>
      <c r="F92" s="44"/>
      <c r="G92" s="44"/>
      <c r="H92" s="45"/>
      <c r="I92" s="156" t="str">
        <f>IFERROR(VLOOKUP($B92,Matriz_INM,3,0),"")</f>
        <v/>
      </c>
      <c r="J92" s="57"/>
      <c r="K92" s="57"/>
      <c r="L92" s="57"/>
      <c r="M92" s="44"/>
      <c r="N92" s="45" t="str">
        <f t="shared" si="6"/>
        <v/>
      </c>
      <c r="O92" s="45" t="str">
        <f t="shared" si="7"/>
        <v/>
      </c>
      <c r="P92" s="149" t="str">
        <f t="shared" si="8"/>
        <v/>
      </c>
      <c r="Q92" s="157">
        <f t="shared" si="9"/>
        <v>0</v>
      </c>
      <c r="R92" s="157">
        <f t="shared" si="10"/>
        <v>0</v>
      </c>
      <c r="S92" s="149">
        <f t="shared" si="11"/>
        <v>0</v>
      </c>
      <c r="T92" s="44"/>
    </row>
    <row r="93" spans="1:20" s="46" customFormat="1" ht="14.25" customHeight="1">
      <c r="A93" s="38"/>
      <c r="B93" s="56"/>
      <c r="C93" s="155">
        <f>IF($B93&lt;&gt;"",VLOOKUP($B93,Matriz_INM,2,0),0)</f>
        <v>0</v>
      </c>
      <c r="D93" s="44"/>
      <c r="E93" s="44"/>
      <c r="F93" s="44"/>
      <c r="G93" s="44"/>
      <c r="H93" s="45"/>
      <c r="I93" s="156" t="str">
        <f>IFERROR(VLOOKUP($B93,Matriz_INM,3,0),"")</f>
        <v/>
      </c>
      <c r="J93" s="57"/>
      <c r="K93" s="57"/>
      <c r="L93" s="57"/>
      <c r="M93" s="44"/>
      <c r="N93" s="45" t="str">
        <f t="shared" si="6"/>
        <v/>
      </c>
      <c r="O93" s="45" t="str">
        <f t="shared" si="7"/>
        <v/>
      </c>
      <c r="P93" s="149" t="str">
        <f t="shared" si="8"/>
        <v/>
      </c>
      <c r="Q93" s="157">
        <f t="shared" si="9"/>
        <v>0</v>
      </c>
      <c r="R93" s="157">
        <f t="shared" si="10"/>
        <v>0</v>
      </c>
      <c r="S93" s="149">
        <f t="shared" si="11"/>
        <v>0</v>
      </c>
      <c r="T93" s="44"/>
    </row>
    <row r="94" spans="1:20" s="46" customFormat="1" ht="14.25" customHeight="1">
      <c r="A94" s="38"/>
      <c r="B94" s="56"/>
      <c r="C94" s="155">
        <f>IF($B94&lt;&gt;"",VLOOKUP($B94,Matriz_INM,2,0),0)</f>
        <v>0</v>
      </c>
      <c r="D94" s="44"/>
      <c r="E94" s="44"/>
      <c r="F94" s="44"/>
      <c r="G94" s="44"/>
      <c r="H94" s="45"/>
      <c r="I94" s="156" t="str">
        <f>IFERROR(VLOOKUP($B94,Matriz_INM,3,0),"")</f>
        <v/>
      </c>
      <c r="J94" s="57"/>
      <c r="K94" s="57"/>
      <c r="L94" s="57"/>
      <c r="M94" s="44"/>
      <c r="N94" s="45" t="str">
        <f t="shared" si="6"/>
        <v/>
      </c>
      <c r="O94" s="45" t="str">
        <f t="shared" si="7"/>
        <v/>
      </c>
      <c r="P94" s="149" t="str">
        <f t="shared" si="8"/>
        <v/>
      </c>
      <c r="Q94" s="157">
        <f t="shared" si="9"/>
        <v>0</v>
      </c>
      <c r="R94" s="157">
        <f t="shared" si="10"/>
        <v>0</v>
      </c>
      <c r="S94" s="149">
        <f t="shared" si="11"/>
        <v>0</v>
      </c>
      <c r="T94" s="44"/>
    </row>
    <row r="95" spans="1:20" s="46" customFormat="1" ht="14.25" customHeight="1">
      <c r="A95" s="38"/>
      <c r="B95" s="56"/>
      <c r="C95" s="155">
        <f>IF($B95&lt;&gt;"",VLOOKUP($B95,Matriz_INM,2,0),0)</f>
        <v>0</v>
      </c>
      <c r="D95" s="44"/>
      <c r="E95" s="44"/>
      <c r="F95" s="44"/>
      <c r="G95" s="44"/>
      <c r="H95" s="45"/>
      <c r="I95" s="156" t="str">
        <f>IFERROR(VLOOKUP($B95,Matriz_INM,3,0),"")</f>
        <v/>
      </c>
      <c r="J95" s="57"/>
      <c r="K95" s="57"/>
      <c r="L95" s="57"/>
      <c r="M95" s="44"/>
      <c r="N95" s="45" t="str">
        <f t="shared" si="6"/>
        <v/>
      </c>
      <c r="O95" s="45" t="str">
        <f t="shared" si="7"/>
        <v/>
      </c>
      <c r="P95" s="149" t="str">
        <f t="shared" si="8"/>
        <v/>
      </c>
      <c r="Q95" s="157">
        <f t="shared" si="9"/>
        <v>0</v>
      </c>
      <c r="R95" s="157">
        <f t="shared" si="10"/>
        <v>0</v>
      </c>
      <c r="S95" s="149">
        <f t="shared" si="11"/>
        <v>0</v>
      </c>
      <c r="T95" s="44"/>
    </row>
    <row r="96" spans="1:20" s="46" customFormat="1" ht="14.25" customHeight="1">
      <c r="A96" s="38"/>
      <c r="B96" s="56"/>
      <c r="C96" s="155">
        <f>IF($B96&lt;&gt;"",VLOOKUP($B96,Matriz_INM,2,0),0)</f>
        <v>0</v>
      </c>
      <c r="D96" s="44"/>
      <c r="E96" s="44"/>
      <c r="F96" s="44"/>
      <c r="G96" s="44"/>
      <c r="H96" s="45"/>
      <c r="I96" s="156" t="str">
        <f>IFERROR(VLOOKUP($B96,Matriz_INM,3,0),"")</f>
        <v/>
      </c>
      <c r="J96" s="57"/>
      <c r="K96" s="57"/>
      <c r="L96" s="57"/>
      <c r="M96" s="44"/>
      <c r="N96" s="45" t="str">
        <f t="shared" si="6"/>
        <v/>
      </c>
      <c r="O96" s="45" t="str">
        <f t="shared" si="7"/>
        <v/>
      </c>
      <c r="P96" s="149" t="str">
        <f t="shared" si="8"/>
        <v/>
      </c>
      <c r="Q96" s="157">
        <f t="shared" si="9"/>
        <v>0</v>
      </c>
      <c r="R96" s="157">
        <f t="shared" si="10"/>
        <v>0</v>
      </c>
      <c r="S96" s="149">
        <f t="shared" si="11"/>
        <v>0</v>
      </c>
      <c r="T96" s="44"/>
    </row>
    <row r="97" spans="1:20" s="46" customFormat="1" ht="14.25" customHeight="1">
      <c r="A97" s="38"/>
      <c r="B97" s="56"/>
      <c r="C97" s="155">
        <f>IF($B97&lt;&gt;"",VLOOKUP($B97,Matriz_INM,2,0),0)</f>
        <v>0</v>
      </c>
      <c r="D97" s="44"/>
      <c r="E97" s="44"/>
      <c r="F97" s="44"/>
      <c r="G97" s="44"/>
      <c r="H97" s="45"/>
      <c r="I97" s="156" t="str">
        <f>IFERROR(VLOOKUP($B97,Matriz_INM,3,0),"")</f>
        <v/>
      </c>
      <c r="J97" s="57"/>
      <c r="K97" s="57"/>
      <c r="L97" s="57"/>
      <c r="M97" s="44"/>
      <c r="N97" s="45" t="str">
        <f t="shared" si="6"/>
        <v/>
      </c>
      <c r="O97" s="45" t="str">
        <f t="shared" si="7"/>
        <v/>
      </c>
      <c r="P97" s="149" t="str">
        <f t="shared" si="8"/>
        <v/>
      </c>
      <c r="Q97" s="157">
        <f t="shared" si="9"/>
        <v>0</v>
      </c>
      <c r="R97" s="157">
        <f t="shared" si="10"/>
        <v>0</v>
      </c>
      <c r="S97" s="149">
        <f t="shared" si="11"/>
        <v>0</v>
      </c>
      <c r="T97" s="44"/>
    </row>
    <row r="98" spans="1:20" s="46" customFormat="1" ht="14.25" customHeight="1">
      <c r="A98" s="38"/>
      <c r="B98" s="56"/>
      <c r="C98" s="155">
        <f>IF($B98&lt;&gt;"",VLOOKUP($B98,Matriz_INM,2,0),0)</f>
        <v>0</v>
      </c>
      <c r="D98" s="44"/>
      <c r="E98" s="44"/>
      <c r="F98" s="44"/>
      <c r="G98" s="44"/>
      <c r="H98" s="45"/>
      <c r="I98" s="156" t="str">
        <f>IFERROR(VLOOKUP($B98,Matriz_INM,3,0),"")</f>
        <v/>
      </c>
      <c r="J98" s="57"/>
      <c r="K98" s="57"/>
      <c r="L98" s="57"/>
      <c r="M98" s="44"/>
      <c r="N98" s="45" t="str">
        <f t="shared" si="6"/>
        <v/>
      </c>
      <c r="O98" s="45" t="str">
        <f t="shared" si="7"/>
        <v/>
      </c>
      <c r="P98" s="149" t="str">
        <f t="shared" si="8"/>
        <v/>
      </c>
      <c r="Q98" s="157">
        <f t="shared" si="9"/>
        <v>0</v>
      </c>
      <c r="R98" s="157">
        <f t="shared" si="10"/>
        <v>0</v>
      </c>
      <c r="S98" s="149">
        <f t="shared" si="11"/>
        <v>0</v>
      </c>
      <c r="T98" s="44"/>
    </row>
    <row r="99" spans="1:20" s="46" customFormat="1" ht="14.25" customHeight="1">
      <c r="A99" s="38"/>
      <c r="B99" s="56"/>
      <c r="C99" s="155">
        <f>IF($B99&lt;&gt;"",VLOOKUP($B99,Matriz_INM,2,0),0)</f>
        <v>0</v>
      </c>
      <c r="D99" s="44"/>
      <c r="E99" s="44"/>
      <c r="F99" s="44"/>
      <c r="G99" s="44"/>
      <c r="H99" s="45"/>
      <c r="I99" s="156" t="str">
        <f>IFERROR(VLOOKUP($B99,Matriz_INM,3,0),"")</f>
        <v/>
      </c>
      <c r="J99" s="57"/>
      <c r="K99" s="57"/>
      <c r="L99" s="57"/>
      <c r="M99" s="44"/>
      <c r="N99" s="45" t="str">
        <f t="shared" si="6"/>
        <v/>
      </c>
      <c r="O99" s="45" t="str">
        <f t="shared" si="7"/>
        <v/>
      </c>
      <c r="P99" s="149" t="str">
        <f t="shared" si="8"/>
        <v/>
      </c>
      <c r="Q99" s="157">
        <f t="shared" si="9"/>
        <v>0</v>
      </c>
      <c r="R99" s="157">
        <f t="shared" si="10"/>
        <v>0</v>
      </c>
      <c r="S99" s="149">
        <f t="shared" si="11"/>
        <v>0</v>
      </c>
      <c r="T99" s="44"/>
    </row>
    <row r="100" spans="1:20" s="46" customFormat="1" ht="14.25" customHeight="1">
      <c r="A100" s="38"/>
      <c r="B100" s="56"/>
      <c r="C100" s="155">
        <f>IF($B100&lt;&gt;"",VLOOKUP($B100,Matriz_INM,2,0),0)</f>
        <v>0</v>
      </c>
      <c r="D100" s="44"/>
      <c r="E100" s="44"/>
      <c r="F100" s="44"/>
      <c r="G100" s="44"/>
      <c r="H100" s="45"/>
      <c r="I100" s="156" t="str">
        <f>IFERROR(VLOOKUP($B100,Matriz_INM,3,0),"")</f>
        <v/>
      </c>
      <c r="J100" s="57"/>
      <c r="K100" s="57"/>
      <c r="L100" s="57"/>
      <c r="M100" s="44"/>
      <c r="N100" s="45" t="str">
        <f t="shared" si="6"/>
        <v/>
      </c>
      <c r="O100" s="45" t="str">
        <f t="shared" si="7"/>
        <v/>
      </c>
      <c r="P100" s="149" t="str">
        <f t="shared" si="8"/>
        <v/>
      </c>
      <c r="Q100" s="157">
        <f t="shared" si="9"/>
        <v>0</v>
      </c>
      <c r="R100" s="157">
        <f t="shared" si="10"/>
        <v>0</v>
      </c>
      <c r="S100" s="149">
        <f t="shared" si="11"/>
        <v>0</v>
      </c>
      <c r="T100" s="44"/>
    </row>
    <row r="101" spans="1:20" s="46" customFormat="1" ht="14.25" customHeight="1">
      <c r="A101" s="38"/>
      <c r="B101" s="56"/>
      <c r="C101" s="155">
        <f>IF($B101&lt;&gt;"",VLOOKUP($B101,Matriz_INM,2,0),0)</f>
        <v>0</v>
      </c>
      <c r="D101" s="44"/>
      <c r="E101" s="44"/>
      <c r="F101" s="44"/>
      <c r="G101" s="44"/>
      <c r="H101" s="45"/>
      <c r="I101" s="156" t="str">
        <f>IFERROR(VLOOKUP($B101,Matriz_INM,3,0),"")</f>
        <v/>
      </c>
      <c r="J101" s="57"/>
      <c r="K101" s="57"/>
      <c r="L101" s="57"/>
      <c r="M101" s="44"/>
      <c r="N101" s="45" t="str">
        <f t="shared" si="6"/>
        <v/>
      </c>
      <c r="O101" s="45" t="str">
        <f t="shared" si="7"/>
        <v/>
      </c>
      <c r="P101" s="149" t="str">
        <f t="shared" si="8"/>
        <v/>
      </c>
      <c r="Q101" s="157">
        <f t="shared" si="9"/>
        <v>0</v>
      </c>
      <c r="R101" s="157">
        <f t="shared" si="10"/>
        <v>0</v>
      </c>
      <c r="S101" s="149">
        <f t="shared" si="11"/>
        <v>0</v>
      </c>
      <c r="T101" s="44"/>
    </row>
    <row r="102" spans="1:20" s="46" customFormat="1" ht="14.25" customHeight="1">
      <c r="A102" s="38"/>
      <c r="B102" s="56"/>
      <c r="C102" s="155">
        <f>IF($B102&lt;&gt;"",VLOOKUP($B102,Matriz_INM,2,0),0)</f>
        <v>0</v>
      </c>
      <c r="D102" s="44"/>
      <c r="E102" s="44"/>
      <c r="F102" s="44"/>
      <c r="G102" s="44"/>
      <c r="H102" s="45"/>
      <c r="I102" s="156" t="str">
        <f>IFERROR(VLOOKUP($B102,Matriz_INM,3,0),"")</f>
        <v/>
      </c>
      <c r="J102" s="57"/>
      <c r="K102" s="57"/>
      <c r="L102" s="57"/>
      <c r="M102" s="44"/>
      <c r="N102" s="45" t="str">
        <f t="shared" si="6"/>
        <v/>
      </c>
      <c r="O102" s="45" t="str">
        <f t="shared" si="7"/>
        <v/>
      </c>
      <c r="P102" s="149" t="str">
        <f t="shared" si="8"/>
        <v/>
      </c>
      <c r="Q102" s="157">
        <f t="shared" si="9"/>
        <v>0</v>
      </c>
      <c r="R102" s="157">
        <f t="shared" si="10"/>
        <v>0</v>
      </c>
      <c r="S102" s="149">
        <f t="shared" si="11"/>
        <v>0</v>
      </c>
      <c r="T102" s="44"/>
    </row>
    <row r="103" spans="1:20" s="46" customFormat="1" ht="14.25" customHeight="1">
      <c r="A103" s="38"/>
      <c r="B103" s="56"/>
      <c r="C103" s="155">
        <f>IF($B103&lt;&gt;"",VLOOKUP($B103,Matriz_INM,2,0),0)</f>
        <v>0</v>
      </c>
      <c r="D103" s="44"/>
      <c r="E103" s="44"/>
      <c r="F103" s="44"/>
      <c r="G103" s="44"/>
      <c r="H103" s="45"/>
      <c r="I103" s="156" t="str">
        <f>IFERROR(VLOOKUP($B103,Matriz_INM,3,0),"")</f>
        <v/>
      </c>
      <c r="J103" s="57"/>
      <c r="K103" s="57"/>
      <c r="L103" s="57"/>
      <c r="M103" s="44"/>
      <c r="N103" s="45" t="str">
        <f t="shared" si="6"/>
        <v/>
      </c>
      <c r="O103" s="45" t="str">
        <f t="shared" si="7"/>
        <v/>
      </c>
      <c r="P103" s="149" t="str">
        <f t="shared" si="8"/>
        <v/>
      </c>
      <c r="Q103" s="157">
        <f t="shared" si="9"/>
        <v>0</v>
      </c>
      <c r="R103" s="157">
        <f t="shared" si="10"/>
        <v>0</v>
      </c>
      <c r="S103" s="149">
        <f t="shared" si="11"/>
        <v>0</v>
      </c>
      <c r="T103" s="44"/>
    </row>
    <row r="104" spans="1:20" s="46" customFormat="1" ht="14.25" customHeight="1">
      <c r="A104" s="38"/>
      <c r="B104" s="56"/>
      <c r="C104" s="155">
        <f>IF($B104&lt;&gt;"",VLOOKUP($B104,Matriz_INM,2,0),0)</f>
        <v>0</v>
      </c>
      <c r="D104" s="44"/>
      <c r="E104" s="44"/>
      <c r="F104" s="44"/>
      <c r="G104" s="44"/>
      <c r="H104" s="45"/>
      <c r="I104" s="156" t="str">
        <f>IFERROR(VLOOKUP($B104,Matriz_INM,3,0),"")</f>
        <v/>
      </c>
      <c r="J104" s="57"/>
      <c r="K104" s="57"/>
      <c r="L104" s="57"/>
      <c r="M104" s="44"/>
      <c r="N104" s="45" t="str">
        <f t="shared" si="6"/>
        <v/>
      </c>
      <c r="O104" s="45" t="str">
        <f t="shared" si="7"/>
        <v/>
      </c>
      <c r="P104" s="149" t="str">
        <f t="shared" si="8"/>
        <v/>
      </c>
      <c r="Q104" s="157">
        <f t="shared" si="9"/>
        <v>0</v>
      </c>
      <c r="R104" s="157">
        <f t="shared" si="10"/>
        <v>0</v>
      </c>
      <c r="S104" s="149">
        <f t="shared" si="11"/>
        <v>0</v>
      </c>
      <c r="T104" s="44"/>
    </row>
    <row r="105" spans="1:20" s="46" customFormat="1" ht="14.25" customHeight="1">
      <c r="A105" s="38"/>
      <c r="B105" s="56"/>
      <c r="C105" s="155">
        <f>IF($B105&lt;&gt;"",VLOOKUP($B105,Matriz_INM,2,0),0)</f>
        <v>0</v>
      </c>
      <c r="D105" s="44"/>
      <c r="E105" s="44"/>
      <c r="F105" s="44"/>
      <c r="G105" s="44"/>
      <c r="H105" s="45"/>
      <c r="I105" s="156" t="str">
        <f>IFERROR(VLOOKUP($B105,Matriz_INM,3,0),"")</f>
        <v/>
      </c>
      <c r="J105" s="57"/>
      <c r="K105" s="57"/>
      <c r="L105" s="57"/>
      <c r="M105" s="44"/>
      <c r="N105" s="45" t="str">
        <f t="shared" si="6"/>
        <v/>
      </c>
      <c r="O105" s="45" t="str">
        <f t="shared" si="7"/>
        <v/>
      </c>
      <c r="P105" s="149" t="str">
        <f t="shared" si="8"/>
        <v/>
      </c>
      <c r="Q105" s="157">
        <f t="shared" si="9"/>
        <v>0</v>
      </c>
      <c r="R105" s="157">
        <f t="shared" si="10"/>
        <v>0</v>
      </c>
      <c r="S105" s="149">
        <f t="shared" si="11"/>
        <v>0</v>
      </c>
      <c r="T105" s="44"/>
    </row>
    <row r="106" spans="1:20" s="46" customFormat="1" ht="14.25" customHeight="1">
      <c r="A106" s="38"/>
      <c r="B106" s="56"/>
      <c r="C106" s="155">
        <f>IF($B106&lt;&gt;"",VLOOKUP($B106,Matriz_INM,2,0),0)</f>
        <v>0</v>
      </c>
      <c r="D106" s="44"/>
      <c r="E106" s="44"/>
      <c r="F106" s="44"/>
      <c r="G106" s="44"/>
      <c r="H106" s="45"/>
      <c r="I106" s="156" t="str">
        <f>IFERROR(VLOOKUP($B106,Matriz_INM,3,0),"")</f>
        <v/>
      </c>
      <c r="J106" s="57"/>
      <c r="K106" s="57"/>
      <c r="L106" s="57"/>
      <c r="M106" s="44"/>
      <c r="N106" s="45" t="str">
        <f t="shared" si="6"/>
        <v/>
      </c>
      <c r="O106" s="45" t="str">
        <f t="shared" si="7"/>
        <v/>
      </c>
      <c r="P106" s="149" t="str">
        <f t="shared" si="8"/>
        <v/>
      </c>
      <c r="Q106" s="157">
        <f t="shared" si="9"/>
        <v>0</v>
      </c>
      <c r="R106" s="157">
        <f t="shared" si="10"/>
        <v>0</v>
      </c>
      <c r="S106" s="149">
        <f t="shared" si="11"/>
        <v>0</v>
      </c>
      <c r="T106" s="44"/>
    </row>
    <row r="107" spans="1:20" s="46" customFormat="1" ht="14.25" customHeight="1">
      <c r="A107" s="38"/>
      <c r="B107" s="56"/>
      <c r="C107" s="155">
        <f>IF($B107&lt;&gt;"",VLOOKUP($B107,Matriz_INM,2,0),0)</f>
        <v>0</v>
      </c>
      <c r="D107" s="44"/>
      <c r="E107" s="44"/>
      <c r="F107" s="44"/>
      <c r="G107" s="44"/>
      <c r="H107" s="45"/>
      <c r="I107" s="156" t="str">
        <f>IFERROR(VLOOKUP($B107,Matriz_INM,3,0),"")</f>
        <v/>
      </c>
      <c r="J107" s="57"/>
      <c r="K107" s="57"/>
      <c r="L107" s="57"/>
      <c r="M107" s="44"/>
      <c r="N107" s="45" t="str">
        <f t="shared" si="6"/>
        <v/>
      </c>
      <c r="O107" s="45" t="str">
        <f t="shared" si="7"/>
        <v/>
      </c>
      <c r="P107" s="149" t="str">
        <f t="shared" si="8"/>
        <v/>
      </c>
      <c r="Q107" s="157">
        <f t="shared" si="9"/>
        <v>0</v>
      </c>
      <c r="R107" s="157">
        <f t="shared" si="10"/>
        <v>0</v>
      </c>
      <c r="S107" s="149">
        <f t="shared" si="11"/>
        <v>0</v>
      </c>
      <c r="T107" s="44"/>
    </row>
    <row r="108" spans="1:20" s="46" customFormat="1" ht="14.25" customHeight="1">
      <c r="A108" s="38"/>
      <c r="B108" s="56"/>
      <c r="C108" s="155">
        <f>IF($B108&lt;&gt;"",VLOOKUP($B108,Matriz_INM,2,0),0)</f>
        <v>0</v>
      </c>
      <c r="D108" s="44"/>
      <c r="E108" s="44"/>
      <c r="F108" s="44"/>
      <c r="G108" s="44"/>
      <c r="H108" s="45"/>
      <c r="I108" s="156" t="str">
        <f>IFERROR(VLOOKUP($B108,Matriz_INM,3,0),"")</f>
        <v/>
      </c>
      <c r="J108" s="57"/>
      <c r="K108" s="57"/>
      <c r="L108" s="57"/>
      <c r="M108" s="44"/>
      <c r="N108" s="45" t="str">
        <f t="shared" si="6"/>
        <v/>
      </c>
      <c r="O108" s="45" t="str">
        <f t="shared" si="7"/>
        <v/>
      </c>
      <c r="P108" s="149" t="str">
        <f t="shared" si="8"/>
        <v/>
      </c>
      <c r="Q108" s="157">
        <f t="shared" si="9"/>
        <v>0</v>
      </c>
      <c r="R108" s="157">
        <f t="shared" si="10"/>
        <v>0</v>
      </c>
      <c r="S108" s="149">
        <f t="shared" si="11"/>
        <v>0</v>
      </c>
      <c r="T108" s="44"/>
    </row>
    <row r="109" spans="1:20" s="46" customFormat="1" ht="14.25" customHeight="1">
      <c r="A109" s="38"/>
      <c r="B109" s="56"/>
      <c r="C109" s="155">
        <f>IF($B109&lt;&gt;"",VLOOKUP($B109,Matriz_INM,2,0),0)</f>
        <v>0</v>
      </c>
      <c r="D109" s="44"/>
      <c r="E109" s="44"/>
      <c r="F109" s="44"/>
      <c r="G109" s="44"/>
      <c r="H109" s="45"/>
      <c r="I109" s="156" t="str">
        <f>IFERROR(VLOOKUP($B109,Matriz_INM,3,0),"")</f>
        <v/>
      </c>
      <c r="J109" s="57"/>
      <c r="K109" s="57"/>
      <c r="L109" s="57"/>
      <c r="M109" s="44"/>
      <c r="N109" s="45" t="str">
        <f t="shared" si="6"/>
        <v/>
      </c>
      <c r="O109" s="45" t="str">
        <f t="shared" si="7"/>
        <v/>
      </c>
      <c r="P109" s="149" t="str">
        <f t="shared" si="8"/>
        <v/>
      </c>
      <c r="Q109" s="157">
        <f t="shared" si="9"/>
        <v>0</v>
      </c>
      <c r="R109" s="157">
        <f t="shared" si="10"/>
        <v>0</v>
      </c>
      <c r="S109" s="149">
        <f t="shared" si="11"/>
        <v>0</v>
      </c>
      <c r="T109" s="44"/>
    </row>
    <row r="110" spans="1:20" s="46" customFormat="1" ht="14.25" customHeight="1">
      <c r="A110" s="38"/>
      <c r="B110" s="56"/>
      <c r="C110" s="155">
        <f>IF($B110&lt;&gt;"",VLOOKUP($B110,Matriz_INM,2,0),0)</f>
        <v>0</v>
      </c>
      <c r="D110" s="44"/>
      <c r="E110" s="44"/>
      <c r="F110" s="44"/>
      <c r="G110" s="44"/>
      <c r="H110" s="45"/>
      <c r="I110" s="156" t="str">
        <f>IFERROR(VLOOKUP($B110,Matriz_INM,3,0),"")</f>
        <v/>
      </c>
      <c r="J110" s="57"/>
      <c r="K110" s="57"/>
      <c r="L110" s="57"/>
      <c r="M110" s="44"/>
      <c r="N110" s="45" t="str">
        <f t="shared" si="6"/>
        <v/>
      </c>
      <c r="O110" s="45" t="str">
        <f t="shared" si="7"/>
        <v/>
      </c>
      <c r="P110" s="149" t="str">
        <f t="shared" si="8"/>
        <v/>
      </c>
      <c r="Q110" s="157">
        <f t="shared" si="9"/>
        <v>0</v>
      </c>
      <c r="R110" s="157">
        <f t="shared" si="10"/>
        <v>0</v>
      </c>
      <c r="S110" s="149">
        <f t="shared" si="11"/>
        <v>0</v>
      </c>
      <c r="T110" s="44"/>
    </row>
    <row r="111" spans="1:20" s="46" customFormat="1" ht="14.25" customHeight="1">
      <c r="A111" s="38"/>
      <c r="B111" s="56"/>
      <c r="C111" s="155">
        <f>IF($B111&lt;&gt;"",VLOOKUP($B111,Matriz_INM,2,0),0)</f>
        <v>0</v>
      </c>
      <c r="D111" s="44"/>
      <c r="E111" s="44"/>
      <c r="F111" s="44"/>
      <c r="G111" s="44"/>
      <c r="H111" s="45"/>
      <c r="I111" s="156" t="str">
        <f>IFERROR(VLOOKUP($B111,Matriz_INM,3,0),"")</f>
        <v/>
      </c>
      <c r="J111" s="57"/>
      <c r="K111" s="57"/>
      <c r="L111" s="57"/>
      <c r="M111" s="44"/>
      <c r="N111" s="45" t="str">
        <f t="shared" si="6"/>
        <v/>
      </c>
      <c r="O111" s="45" t="str">
        <f t="shared" si="7"/>
        <v/>
      </c>
      <c r="P111" s="149" t="str">
        <f t="shared" si="8"/>
        <v/>
      </c>
      <c r="Q111" s="157">
        <f t="shared" si="9"/>
        <v>0</v>
      </c>
      <c r="R111" s="157">
        <f t="shared" si="10"/>
        <v>0</v>
      </c>
      <c r="S111" s="149">
        <f t="shared" si="11"/>
        <v>0</v>
      </c>
      <c r="T111" s="44"/>
    </row>
    <row r="112" spans="1:20" s="46" customFormat="1" ht="14.25" customHeight="1">
      <c r="A112" s="38"/>
      <c r="B112" s="56"/>
      <c r="C112" s="155">
        <f>IF($B112&lt;&gt;"",VLOOKUP($B112,Matriz_INM,2,0),0)</f>
        <v>0</v>
      </c>
      <c r="D112" s="44"/>
      <c r="E112" s="44"/>
      <c r="F112" s="44"/>
      <c r="G112" s="44"/>
      <c r="H112" s="45"/>
      <c r="I112" s="156" t="str">
        <f>IFERROR(VLOOKUP($B112,Matriz_INM,3,0),"")</f>
        <v/>
      </c>
      <c r="J112" s="57"/>
      <c r="K112" s="57"/>
      <c r="L112" s="57"/>
      <c r="M112" s="44"/>
      <c r="N112" s="45" t="str">
        <f t="shared" si="6"/>
        <v/>
      </c>
      <c r="O112" s="45" t="str">
        <f t="shared" si="7"/>
        <v/>
      </c>
      <c r="P112" s="149" t="str">
        <f t="shared" si="8"/>
        <v/>
      </c>
      <c r="Q112" s="157">
        <f t="shared" si="9"/>
        <v>0</v>
      </c>
      <c r="R112" s="157">
        <f t="shared" si="10"/>
        <v>0</v>
      </c>
      <c r="S112" s="149">
        <f t="shared" si="11"/>
        <v>0</v>
      </c>
      <c r="T112" s="44"/>
    </row>
    <row r="113" spans="1:20" s="46" customFormat="1" ht="14.25" customHeight="1">
      <c r="A113" s="38"/>
      <c r="B113" s="56"/>
      <c r="C113" s="155">
        <f>IF($B113&lt;&gt;"",VLOOKUP($B113,Matriz_INM,2,0),0)</f>
        <v>0</v>
      </c>
      <c r="D113" s="44"/>
      <c r="E113" s="44"/>
      <c r="F113" s="44"/>
      <c r="G113" s="44"/>
      <c r="H113" s="45"/>
      <c r="I113" s="156" t="str">
        <f>IFERROR(VLOOKUP($B113,Matriz_INM,3,0),"")</f>
        <v/>
      </c>
      <c r="J113" s="57"/>
      <c r="K113" s="57"/>
      <c r="L113" s="57"/>
      <c r="M113" s="44"/>
      <c r="N113" s="45" t="str">
        <f t="shared" si="6"/>
        <v/>
      </c>
      <c r="O113" s="45" t="str">
        <f t="shared" si="7"/>
        <v/>
      </c>
      <c r="P113" s="149" t="str">
        <f t="shared" si="8"/>
        <v/>
      </c>
      <c r="Q113" s="157">
        <f t="shared" si="9"/>
        <v>0</v>
      </c>
      <c r="R113" s="157">
        <f t="shared" si="10"/>
        <v>0</v>
      </c>
      <c r="S113" s="149">
        <f t="shared" si="11"/>
        <v>0</v>
      </c>
      <c r="T113" s="44"/>
    </row>
    <row r="114" spans="1:20" s="46" customFormat="1" ht="14.25" customHeight="1">
      <c r="A114" s="38"/>
      <c r="B114" s="56"/>
      <c r="C114" s="155">
        <f>IF($B114&lt;&gt;"",VLOOKUP($B114,Matriz_INM,2,0),0)</f>
        <v>0</v>
      </c>
      <c r="D114" s="44"/>
      <c r="E114" s="44"/>
      <c r="F114" s="44"/>
      <c r="G114" s="44"/>
      <c r="H114" s="45"/>
      <c r="I114" s="156" t="str">
        <f>IFERROR(VLOOKUP($B114,Matriz_INM,3,0),"")</f>
        <v/>
      </c>
      <c r="J114" s="57"/>
      <c r="K114" s="57"/>
      <c r="L114" s="57"/>
      <c r="M114" s="44"/>
      <c r="N114" s="45" t="str">
        <f t="shared" si="6"/>
        <v/>
      </c>
      <c r="O114" s="45" t="str">
        <f t="shared" si="7"/>
        <v/>
      </c>
      <c r="P114" s="149" t="str">
        <f t="shared" si="8"/>
        <v/>
      </c>
      <c r="Q114" s="157">
        <f t="shared" si="9"/>
        <v>0</v>
      </c>
      <c r="R114" s="157">
        <f t="shared" si="10"/>
        <v>0</v>
      </c>
      <c r="S114" s="149">
        <f t="shared" si="11"/>
        <v>0</v>
      </c>
      <c r="T114" s="44"/>
    </row>
    <row r="115" spans="1:20" s="46" customFormat="1" ht="14.25" customHeight="1">
      <c r="A115" s="38"/>
      <c r="B115" s="56"/>
      <c r="C115" s="155">
        <f>IF($B115&lt;&gt;"",VLOOKUP($B115,Matriz_INM,2,0),0)</f>
        <v>0</v>
      </c>
      <c r="D115" s="44"/>
      <c r="E115" s="44"/>
      <c r="F115" s="44"/>
      <c r="G115" s="44"/>
      <c r="H115" s="45"/>
      <c r="I115" s="156" t="str">
        <f>IFERROR(VLOOKUP($B115,Matriz_INM,3,0),"")</f>
        <v/>
      </c>
      <c r="J115" s="57"/>
      <c r="K115" s="57"/>
      <c r="L115" s="57"/>
      <c r="M115" s="44"/>
      <c r="N115" s="45" t="str">
        <f t="shared" si="6"/>
        <v/>
      </c>
      <c r="O115" s="45" t="str">
        <f t="shared" si="7"/>
        <v/>
      </c>
      <c r="P115" s="149" t="str">
        <f t="shared" si="8"/>
        <v/>
      </c>
      <c r="Q115" s="157">
        <f t="shared" si="9"/>
        <v>0</v>
      </c>
      <c r="R115" s="157">
        <f t="shared" si="10"/>
        <v>0</v>
      </c>
      <c r="S115" s="149">
        <f t="shared" si="11"/>
        <v>0</v>
      </c>
      <c r="T115" s="44"/>
    </row>
    <row r="116" spans="1:20" s="46" customFormat="1" ht="14.25" customHeight="1">
      <c r="A116" s="38"/>
      <c r="B116" s="56"/>
      <c r="C116" s="155">
        <f>IF($B116&lt;&gt;"",VLOOKUP($B116,Matriz_INM,2,0),0)</f>
        <v>0</v>
      </c>
      <c r="D116" s="44"/>
      <c r="E116" s="44"/>
      <c r="F116" s="44"/>
      <c r="G116" s="44"/>
      <c r="H116" s="45"/>
      <c r="I116" s="156" t="str">
        <f>IFERROR(VLOOKUP($B116,Matriz_INM,3,0),"")</f>
        <v/>
      </c>
      <c r="J116" s="57"/>
      <c r="K116" s="57"/>
      <c r="L116" s="57"/>
      <c r="M116" s="44"/>
      <c r="N116" s="45" t="str">
        <f t="shared" si="6"/>
        <v/>
      </c>
      <c r="O116" s="45" t="str">
        <f t="shared" si="7"/>
        <v/>
      </c>
      <c r="P116" s="149" t="str">
        <f t="shared" si="8"/>
        <v/>
      </c>
      <c r="Q116" s="157">
        <f t="shared" si="9"/>
        <v>0</v>
      </c>
      <c r="R116" s="157">
        <f t="shared" si="10"/>
        <v>0</v>
      </c>
      <c r="S116" s="149">
        <f t="shared" si="11"/>
        <v>0</v>
      </c>
      <c r="T116" s="44"/>
    </row>
    <row r="117" spans="1:20" s="46" customFormat="1" ht="14.25" customHeight="1">
      <c r="A117" s="38"/>
      <c r="B117" s="56"/>
      <c r="C117" s="155">
        <f>IF($B117&lt;&gt;"",VLOOKUP($B117,Matriz_INM,2,0),0)</f>
        <v>0</v>
      </c>
      <c r="D117" s="44"/>
      <c r="E117" s="44"/>
      <c r="F117" s="44"/>
      <c r="G117" s="44"/>
      <c r="H117" s="45"/>
      <c r="I117" s="156" t="str">
        <f>IFERROR(VLOOKUP($B117,Matriz_INM,3,0),"")</f>
        <v/>
      </c>
      <c r="J117" s="57"/>
      <c r="K117" s="57"/>
      <c r="L117" s="57"/>
      <c r="M117" s="44"/>
      <c r="N117" s="45" t="str">
        <f t="shared" si="6"/>
        <v/>
      </c>
      <c r="O117" s="45" t="str">
        <f t="shared" si="7"/>
        <v/>
      </c>
      <c r="P117" s="149" t="str">
        <f t="shared" si="8"/>
        <v/>
      </c>
      <c r="Q117" s="157">
        <f t="shared" si="9"/>
        <v>0</v>
      </c>
      <c r="R117" s="157">
        <f t="shared" si="10"/>
        <v>0</v>
      </c>
      <c r="S117" s="149">
        <f t="shared" si="11"/>
        <v>0</v>
      </c>
      <c r="T117" s="44"/>
    </row>
    <row r="118" spans="1:20" s="46" customFormat="1" ht="14.25" customHeight="1">
      <c r="A118" s="38"/>
      <c r="B118" s="56"/>
      <c r="C118" s="155">
        <f>IF($B118&lt;&gt;"",VLOOKUP($B118,Matriz_INM,2,0),0)</f>
        <v>0</v>
      </c>
      <c r="D118" s="44"/>
      <c r="E118" s="44"/>
      <c r="F118" s="44"/>
      <c r="G118" s="44"/>
      <c r="H118" s="45"/>
      <c r="I118" s="156" t="str">
        <f>IFERROR(VLOOKUP($B118,Matriz_INM,3,0),"")</f>
        <v/>
      </c>
      <c r="J118" s="57"/>
      <c r="K118" s="57"/>
      <c r="L118" s="57"/>
      <c r="M118" s="44"/>
      <c r="N118" s="45" t="str">
        <f t="shared" si="6"/>
        <v/>
      </c>
      <c r="O118" s="45" t="str">
        <f t="shared" si="7"/>
        <v/>
      </c>
      <c r="P118" s="149" t="str">
        <f t="shared" si="8"/>
        <v/>
      </c>
      <c r="Q118" s="157">
        <f t="shared" si="9"/>
        <v>0</v>
      </c>
      <c r="R118" s="157">
        <f t="shared" si="10"/>
        <v>0</v>
      </c>
      <c r="S118" s="149">
        <f t="shared" si="11"/>
        <v>0</v>
      </c>
      <c r="T118" s="44"/>
    </row>
    <row r="119" spans="1:20" s="46" customFormat="1" ht="14.25" customHeight="1">
      <c r="A119" s="38"/>
      <c r="B119" s="56"/>
      <c r="C119" s="155">
        <f>IF($B119&lt;&gt;"",VLOOKUP($B119,Matriz_INM,2,0),0)</f>
        <v>0</v>
      </c>
      <c r="D119" s="44"/>
      <c r="E119" s="44"/>
      <c r="F119" s="44"/>
      <c r="G119" s="44"/>
      <c r="H119" s="45"/>
      <c r="I119" s="156" t="str">
        <f>IFERROR(VLOOKUP($B119,Matriz_INM,3,0),"")</f>
        <v/>
      </c>
      <c r="J119" s="57"/>
      <c r="K119" s="57"/>
      <c r="L119" s="57"/>
      <c r="M119" s="44"/>
      <c r="N119" s="45" t="str">
        <f t="shared" si="6"/>
        <v/>
      </c>
      <c r="O119" s="45" t="str">
        <f t="shared" si="7"/>
        <v/>
      </c>
      <c r="P119" s="149" t="str">
        <f t="shared" si="8"/>
        <v/>
      </c>
      <c r="Q119" s="157">
        <f t="shared" si="9"/>
        <v>0</v>
      </c>
      <c r="R119" s="157">
        <f t="shared" si="10"/>
        <v>0</v>
      </c>
      <c r="S119" s="149">
        <f t="shared" si="11"/>
        <v>0</v>
      </c>
      <c r="T119" s="44"/>
    </row>
    <row r="120" spans="1:20" s="46" customFormat="1" ht="14.25" customHeight="1">
      <c r="A120" s="38"/>
      <c r="B120" s="56"/>
      <c r="C120" s="155">
        <f>IF($B120&lt;&gt;"",VLOOKUP($B120,Matriz_INM,2,0),0)</f>
        <v>0</v>
      </c>
      <c r="D120" s="44"/>
      <c r="E120" s="44"/>
      <c r="F120" s="44"/>
      <c r="G120" s="44"/>
      <c r="H120" s="45"/>
      <c r="I120" s="156" t="str">
        <f>IFERROR(VLOOKUP($B120,Matriz_INM,3,0),"")</f>
        <v/>
      </c>
      <c r="J120" s="57"/>
      <c r="K120" s="57"/>
      <c r="L120" s="57"/>
      <c r="M120" s="44"/>
      <c r="N120" s="45" t="str">
        <f t="shared" si="6"/>
        <v/>
      </c>
      <c r="O120" s="45" t="str">
        <f t="shared" si="7"/>
        <v/>
      </c>
      <c r="P120" s="149" t="str">
        <f t="shared" si="8"/>
        <v/>
      </c>
      <c r="Q120" s="157">
        <f t="shared" si="9"/>
        <v>0</v>
      </c>
      <c r="R120" s="157">
        <f t="shared" si="10"/>
        <v>0</v>
      </c>
      <c r="S120" s="149">
        <f t="shared" si="11"/>
        <v>0</v>
      </c>
      <c r="T120" s="44"/>
    </row>
    <row r="121" spans="1:20" s="46" customFormat="1" ht="14.25" customHeight="1">
      <c r="A121" s="38"/>
      <c r="B121" s="56"/>
      <c r="C121" s="155">
        <f>IF($B121&lt;&gt;"",VLOOKUP($B121,Matriz_INM,2,0),0)</f>
        <v>0</v>
      </c>
      <c r="D121" s="44"/>
      <c r="E121" s="44"/>
      <c r="F121" s="44"/>
      <c r="G121" s="44"/>
      <c r="H121" s="45"/>
      <c r="I121" s="156" t="str">
        <f>IFERROR(VLOOKUP($B121,Matriz_INM,3,0),"")</f>
        <v/>
      </c>
      <c r="J121" s="57"/>
      <c r="K121" s="57"/>
      <c r="L121" s="57"/>
      <c r="M121" s="44"/>
      <c r="N121" s="45" t="str">
        <f t="shared" si="6"/>
        <v/>
      </c>
      <c r="O121" s="45" t="str">
        <f t="shared" si="7"/>
        <v/>
      </c>
      <c r="P121" s="149" t="str">
        <f t="shared" si="8"/>
        <v/>
      </c>
      <c r="Q121" s="157">
        <f t="shared" si="9"/>
        <v>0</v>
      </c>
      <c r="R121" s="157">
        <f t="shared" si="10"/>
        <v>0</v>
      </c>
      <c r="S121" s="149">
        <f t="shared" si="11"/>
        <v>0</v>
      </c>
      <c r="T121" s="44"/>
    </row>
    <row r="122" spans="1:20" s="46" customFormat="1" ht="14.25" customHeight="1">
      <c r="A122" s="38"/>
      <c r="B122" s="56"/>
      <c r="C122" s="155">
        <f>IF($B122&lt;&gt;"",VLOOKUP($B122,Matriz_INM,2,0),0)</f>
        <v>0</v>
      </c>
      <c r="D122" s="44"/>
      <c r="E122" s="44"/>
      <c r="F122" s="44"/>
      <c r="G122" s="44"/>
      <c r="H122" s="45"/>
      <c r="I122" s="156" t="str">
        <f>IFERROR(VLOOKUP($B122,Matriz_INM,3,0),"")</f>
        <v/>
      </c>
      <c r="J122" s="57"/>
      <c r="K122" s="57"/>
      <c r="L122" s="57"/>
      <c r="M122" s="44"/>
      <c r="N122" s="45" t="str">
        <f t="shared" si="6"/>
        <v/>
      </c>
      <c r="O122" s="45" t="str">
        <f t="shared" si="7"/>
        <v/>
      </c>
      <c r="P122" s="149" t="str">
        <f t="shared" si="8"/>
        <v/>
      </c>
      <c r="Q122" s="157">
        <f t="shared" si="9"/>
        <v>0</v>
      </c>
      <c r="R122" s="157">
        <f t="shared" si="10"/>
        <v>0</v>
      </c>
      <c r="S122" s="149">
        <f t="shared" si="11"/>
        <v>0</v>
      </c>
      <c r="T122" s="44"/>
    </row>
    <row r="123" spans="1:20" s="46" customFormat="1" ht="14.25" customHeight="1">
      <c r="A123" s="38"/>
      <c r="B123" s="56"/>
      <c r="C123" s="155">
        <f>IF($B123&lt;&gt;"",VLOOKUP($B123,Matriz_INM,2,0),0)</f>
        <v>0</v>
      </c>
      <c r="D123" s="44"/>
      <c r="E123" s="44"/>
      <c r="F123" s="44"/>
      <c r="G123" s="44"/>
      <c r="H123" s="45"/>
      <c r="I123" s="156" t="str">
        <f>IFERROR(VLOOKUP($B123,Matriz_INM,3,0),"")</f>
        <v/>
      </c>
      <c r="J123" s="57"/>
      <c r="K123" s="57"/>
      <c r="L123" s="57"/>
      <c r="M123" s="44"/>
      <c r="N123" s="45" t="str">
        <f t="shared" si="6"/>
        <v/>
      </c>
      <c r="O123" s="45" t="str">
        <f t="shared" si="7"/>
        <v/>
      </c>
      <c r="P123" s="149" t="str">
        <f t="shared" si="8"/>
        <v/>
      </c>
      <c r="Q123" s="157">
        <f t="shared" si="9"/>
        <v>0</v>
      </c>
      <c r="R123" s="157">
        <f t="shared" si="10"/>
        <v>0</v>
      </c>
      <c r="S123" s="149">
        <f t="shared" si="11"/>
        <v>0</v>
      </c>
      <c r="T123" s="44"/>
    </row>
    <row r="124" spans="1:20" s="46" customFormat="1" ht="14.25" customHeight="1">
      <c r="A124" s="38"/>
      <c r="B124" s="56"/>
      <c r="C124" s="155">
        <f>IF($B124&lt;&gt;"",VLOOKUP($B124,Matriz_INM,2,0),0)</f>
        <v>0</v>
      </c>
      <c r="D124" s="44"/>
      <c r="E124" s="44"/>
      <c r="F124" s="44"/>
      <c r="G124" s="44"/>
      <c r="H124" s="45"/>
      <c r="I124" s="156" t="str">
        <f>IFERROR(VLOOKUP($B124,Matriz_INM,3,0),"")</f>
        <v/>
      </c>
      <c r="J124" s="57"/>
      <c r="K124" s="57"/>
      <c r="L124" s="57"/>
      <c r="M124" s="44"/>
      <c r="N124" s="45" t="str">
        <f t="shared" si="6"/>
        <v/>
      </c>
      <c r="O124" s="45" t="str">
        <f t="shared" si="7"/>
        <v/>
      </c>
      <c r="P124" s="149" t="str">
        <f t="shared" si="8"/>
        <v/>
      </c>
      <c r="Q124" s="157">
        <f t="shared" si="9"/>
        <v>0</v>
      </c>
      <c r="R124" s="157">
        <f t="shared" si="10"/>
        <v>0</v>
      </c>
      <c r="S124" s="149">
        <f t="shared" si="11"/>
        <v>0</v>
      </c>
      <c r="T124" s="44"/>
    </row>
    <row r="125" spans="1:20" s="46" customFormat="1" ht="14.25" customHeight="1">
      <c r="A125" s="38"/>
      <c r="B125" s="56"/>
      <c r="C125" s="155">
        <f>IF($B125&lt;&gt;"",VLOOKUP($B125,Matriz_INM,2,0),0)</f>
        <v>0</v>
      </c>
      <c r="D125" s="44"/>
      <c r="E125" s="44"/>
      <c r="F125" s="44"/>
      <c r="G125" s="44"/>
      <c r="H125" s="45"/>
      <c r="I125" s="156" t="str">
        <f>IFERROR(VLOOKUP($B125,Matriz_INM,3,0),"")</f>
        <v/>
      </c>
      <c r="J125" s="57"/>
      <c r="K125" s="57"/>
      <c r="L125" s="57"/>
      <c r="M125" s="44"/>
      <c r="N125" s="45" t="str">
        <f t="shared" si="6"/>
        <v/>
      </c>
      <c r="O125" s="45" t="str">
        <f t="shared" si="7"/>
        <v/>
      </c>
      <c r="P125" s="149" t="str">
        <f t="shared" si="8"/>
        <v/>
      </c>
      <c r="Q125" s="157">
        <f t="shared" si="9"/>
        <v>0</v>
      </c>
      <c r="R125" s="157">
        <f t="shared" si="10"/>
        <v>0</v>
      </c>
      <c r="S125" s="149">
        <f t="shared" si="11"/>
        <v>0</v>
      </c>
      <c r="T125" s="44"/>
    </row>
    <row r="126" spans="1:20" s="46" customFormat="1" ht="14.25" customHeight="1">
      <c r="A126" s="38"/>
      <c r="B126" s="56"/>
      <c r="C126" s="155">
        <f>IF($B126&lt;&gt;"",VLOOKUP($B126,Matriz_INM,2,0),0)</f>
        <v>0</v>
      </c>
      <c r="D126" s="44"/>
      <c r="E126" s="44"/>
      <c r="F126" s="44"/>
      <c r="G126" s="44"/>
      <c r="H126" s="45"/>
      <c r="I126" s="156" t="str">
        <f>IFERROR(VLOOKUP($B126,Matriz_INM,3,0),"")</f>
        <v/>
      </c>
      <c r="J126" s="57"/>
      <c r="K126" s="57"/>
      <c r="L126" s="57"/>
      <c r="M126" s="44"/>
      <c r="N126" s="45" t="str">
        <f t="shared" si="6"/>
        <v/>
      </c>
      <c r="O126" s="45" t="str">
        <f t="shared" si="7"/>
        <v/>
      </c>
      <c r="P126" s="149" t="str">
        <f t="shared" si="8"/>
        <v/>
      </c>
      <c r="Q126" s="157">
        <f t="shared" si="9"/>
        <v>0</v>
      </c>
      <c r="R126" s="157">
        <f t="shared" si="10"/>
        <v>0</v>
      </c>
      <c r="S126" s="149">
        <f t="shared" si="11"/>
        <v>0</v>
      </c>
      <c r="T126" s="44"/>
    </row>
    <row r="127" spans="1:20" s="46" customFormat="1" ht="14.25" customHeight="1">
      <c r="A127" s="38"/>
      <c r="B127" s="56"/>
      <c r="C127" s="155">
        <f>IF($B127&lt;&gt;"",VLOOKUP($B127,Matriz_INM,2,0),0)</f>
        <v>0</v>
      </c>
      <c r="D127" s="44"/>
      <c r="E127" s="44"/>
      <c r="F127" s="44"/>
      <c r="G127" s="44"/>
      <c r="H127" s="45"/>
      <c r="I127" s="156" t="str">
        <f>IFERROR(VLOOKUP($B127,Matriz_INM,3,0),"")</f>
        <v/>
      </c>
      <c r="J127" s="57"/>
      <c r="K127" s="57"/>
      <c r="L127" s="57"/>
      <c r="M127" s="44"/>
      <c r="N127" s="45" t="str">
        <f t="shared" si="6"/>
        <v/>
      </c>
      <c r="O127" s="45" t="str">
        <f t="shared" si="7"/>
        <v/>
      </c>
      <c r="P127" s="149" t="str">
        <f t="shared" si="8"/>
        <v/>
      </c>
      <c r="Q127" s="157">
        <f t="shared" si="9"/>
        <v>0</v>
      </c>
      <c r="R127" s="157">
        <f t="shared" si="10"/>
        <v>0</v>
      </c>
      <c r="S127" s="149">
        <f t="shared" si="11"/>
        <v>0</v>
      </c>
      <c r="T127" s="44"/>
    </row>
    <row r="128" spans="1:20" s="46" customFormat="1" ht="14.25" customHeight="1">
      <c r="A128" s="38"/>
      <c r="B128" s="56"/>
      <c r="C128" s="155">
        <f>IF($B128&lt;&gt;"",VLOOKUP($B128,Matriz_INM,2,0),0)</f>
        <v>0</v>
      </c>
      <c r="D128" s="44"/>
      <c r="E128" s="44"/>
      <c r="F128" s="44"/>
      <c r="G128" s="44"/>
      <c r="H128" s="45"/>
      <c r="I128" s="156" t="str">
        <f>IFERROR(VLOOKUP($B128,Matriz_INM,3,0),"")</f>
        <v/>
      </c>
      <c r="J128" s="57"/>
      <c r="K128" s="57"/>
      <c r="L128" s="57"/>
      <c r="M128" s="44"/>
      <c r="N128" s="45" t="str">
        <f t="shared" si="6"/>
        <v/>
      </c>
      <c r="O128" s="45" t="str">
        <f t="shared" si="7"/>
        <v/>
      </c>
      <c r="P128" s="149" t="str">
        <f t="shared" si="8"/>
        <v/>
      </c>
      <c r="Q128" s="157">
        <f t="shared" si="9"/>
        <v>0</v>
      </c>
      <c r="R128" s="157">
        <f t="shared" si="10"/>
        <v>0</v>
      </c>
      <c r="S128" s="149">
        <f t="shared" si="11"/>
        <v>0</v>
      </c>
      <c r="T128" s="44"/>
    </row>
    <row r="129" spans="1:20" s="46" customFormat="1" ht="14.25" customHeight="1">
      <c r="A129" s="38"/>
      <c r="B129" s="56"/>
      <c r="C129" s="155">
        <f>IF($B129&lt;&gt;"",VLOOKUP($B129,Matriz_INM,2,0),0)</f>
        <v>0</v>
      </c>
      <c r="D129" s="44"/>
      <c r="E129" s="44"/>
      <c r="F129" s="44"/>
      <c r="G129" s="44"/>
      <c r="H129" s="45"/>
      <c r="I129" s="156" t="str">
        <f>IFERROR(VLOOKUP($B129,Matriz_INM,3,0),"")</f>
        <v/>
      </c>
      <c r="J129" s="57"/>
      <c r="K129" s="57"/>
      <c r="L129" s="57"/>
      <c r="M129" s="44"/>
      <c r="N129" s="45" t="str">
        <f t="shared" si="6"/>
        <v/>
      </c>
      <c r="O129" s="45" t="str">
        <f t="shared" si="7"/>
        <v/>
      </c>
      <c r="P129" s="149" t="str">
        <f t="shared" si="8"/>
        <v/>
      </c>
      <c r="Q129" s="157">
        <f t="shared" si="9"/>
        <v>0</v>
      </c>
      <c r="R129" s="157">
        <f t="shared" si="10"/>
        <v>0</v>
      </c>
      <c r="S129" s="149">
        <f t="shared" si="11"/>
        <v>0</v>
      </c>
      <c r="T129" s="44"/>
    </row>
    <row r="130" spans="1:20" s="46" customFormat="1" ht="14.25" customHeight="1">
      <c r="A130" s="38"/>
      <c r="B130" s="56"/>
      <c r="C130" s="155">
        <f>IF($B130&lt;&gt;"",VLOOKUP($B130,Matriz_INM,2,0),0)</f>
        <v>0</v>
      </c>
      <c r="D130" s="44"/>
      <c r="E130" s="44"/>
      <c r="F130" s="44"/>
      <c r="G130" s="44"/>
      <c r="H130" s="45"/>
      <c r="I130" s="156" t="str">
        <f>IFERROR(VLOOKUP($B130,Matriz_INM,3,0),"")</f>
        <v/>
      </c>
      <c r="J130" s="57"/>
      <c r="K130" s="57"/>
      <c r="L130" s="57"/>
      <c r="M130" s="44"/>
      <c r="N130" s="45" t="str">
        <f t="shared" si="6"/>
        <v/>
      </c>
      <c r="O130" s="45" t="str">
        <f t="shared" si="7"/>
        <v/>
      </c>
      <c r="P130" s="149" t="str">
        <f t="shared" si="8"/>
        <v/>
      </c>
      <c r="Q130" s="157">
        <f t="shared" si="9"/>
        <v>0</v>
      </c>
      <c r="R130" s="157">
        <f t="shared" si="10"/>
        <v>0</v>
      </c>
      <c r="S130" s="149">
        <f t="shared" si="11"/>
        <v>0</v>
      </c>
      <c r="T130" s="44"/>
    </row>
    <row r="131" spans="1:20" s="46" customFormat="1" ht="14.25" customHeight="1">
      <c r="A131" s="38"/>
      <c r="B131" s="56"/>
      <c r="C131" s="155">
        <f>IF($B131&lt;&gt;"",VLOOKUP($B131,Matriz_INM,2,0),0)</f>
        <v>0</v>
      </c>
      <c r="D131" s="44"/>
      <c r="E131" s="44"/>
      <c r="F131" s="44"/>
      <c r="G131" s="44"/>
      <c r="H131" s="45"/>
      <c r="I131" s="156" t="str">
        <f>IFERROR(VLOOKUP($B131,Matriz_INM,3,0),"")</f>
        <v/>
      </c>
      <c r="J131" s="57"/>
      <c r="K131" s="57"/>
      <c r="L131" s="57"/>
      <c r="M131" s="44"/>
      <c r="N131" s="45" t="str">
        <f t="shared" si="6"/>
        <v/>
      </c>
      <c r="O131" s="45" t="str">
        <f t="shared" si="7"/>
        <v/>
      </c>
      <c r="P131" s="149" t="str">
        <f t="shared" si="8"/>
        <v/>
      </c>
      <c r="Q131" s="157">
        <f t="shared" si="9"/>
        <v>0</v>
      </c>
      <c r="R131" s="157">
        <f t="shared" si="10"/>
        <v>0</v>
      </c>
      <c r="S131" s="149">
        <f t="shared" si="11"/>
        <v>0</v>
      </c>
      <c r="T131" s="44"/>
    </row>
    <row r="132" spans="1:20" s="46" customFormat="1" ht="14.25" customHeight="1">
      <c r="A132" s="38"/>
      <c r="B132" s="56"/>
      <c r="C132" s="155">
        <f>IF($B132&lt;&gt;"",VLOOKUP($B132,Matriz_INM,2,0),0)</f>
        <v>0</v>
      </c>
      <c r="D132" s="44"/>
      <c r="E132" s="44"/>
      <c r="F132" s="44"/>
      <c r="G132" s="44"/>
      <c r="H132" s="45"/>
      <c r="I132" s="156" t="str">
        <f>IFERROR(VLOOKUP($B132,Matriz_INM,3,0),"")</f>
        <v/>
      </c>
      <c r="J132" s="57"/>
      <c r="K132" s="57"/>
      <c r="L132" s="57"/>
      <c r="M132" s="44"/>
      <c r="N132" s="45" t="str">
        <f t="shared" si="6"/>
        <v/>
      </c>
      <c r="O132" s="45" t="str">
        <f t="shared" si="7"/>
        <v/>
      </c>
      <c r="P132" s="149" t="str">
        <f t="shared" si="8"/>
        <v/>
      </c>
      <c r="Q132" s="157">
        <f t="shared" si="9"/>
        <v>0</v>
      </c>
      <c r="R132" s="157">
        <f t="shared" si="10"/>
        <v>0</v>
      </c>
      <c r="S132" s="149">
        <f t="shared" si="11"/>
        <v>0</v>
      </c>
      <c r="T132" s="44"/>
    </row>
    <row r="133" spans="1:20" s="46" customFormat="1" ht="14.25" customHeight="1">
      <c r="A133" s="38"/>
      <c r="B133" s="56"/>
      <c r="C133" s="155">
        <f>IF($B133&lt;&gt;"",VLOOKUP($B133,Matriz_INM,2,0),0)</f>
        <v>0</v>
      </c>
      <c r="D133" s="44"/>
      <c r="E133" s="44"/>
      <c r="F133" s="44"/>
      <c r="G133" s="44"/>
      <c r="H133" s="45"/>
      <c r="I133" s="156" t="str">
        <f>IFERROR(VLOOKUP($B133,Matriz_INM,3,0),"")</f>
        <v/>
      </c>
      <c r="J133" s="57"/>
      <c r="K133" s="57"/>
      <c r="L133" s="57"/>
      <c r="M133" s="44"/>
      <c r="N133" s="45" t="str">
        <f t="shared" si="6"/>
        <v/>
      </c>
      <c r="O133" s="45" t="str">
        <f t="shared" si="7"/>
        <v/>
      </c>
      <c r="P133" s="149" t="str">
        <f t="shared" si="8"/>
        <v/>
      </c>
      <c r="Q133" s="157">
        <f t="shared" si="9"/>
        <v>0</v>
      </c>
      <c r="R133" s="157">
        <f t="shared" si="10"/>
        <v>0</v>
      </c>
      <c r="S133" s="149">
        <f t="shared" si="11"/>
        <v>0</v>
      </c>
      <c r="T133" s="44"/>
    </row>
    <row r="134" spans="1:20" s="46" customFormat="1" ht="14.25" customHeight="1">
      <c r="A134" s="38"/>
      <c r="B134" s="56"/>
      <c r="C134" s="155">
        <f>IF($B134&lt;&gt;"",VLOOKUP($B134,Matriz_INM,2,0),0)</f>
        <v>0</v>
      </c>
      <c r="D134" s="44"/>
      <c r="E134" s="44"/>
      <c r="F134" s="44"/>
      <c r="G134" s="44"/>
      <c r="H134" s="45"/>
      <c r="I134" s="156" t="str">
        <f>IFERROR(VLOOKUP($B134,Matriz_INM,3,0),"")</f>
        <v/>
      </c>
      <c r="J134" s="57"/>
      <c r="K134" s="57"/>
      <c r="L134" s="57"/>
      <c r="M134" s="44"/>
      <c r="N134" s="45" t="str">
        <f t="shared" si="6"/>
        <v/>
      </c>
      <c r="O134" s="45" t="str">
        <f t="shared" si="7"/>
        <v/>
      </c>
      <c r="P134" s="149" t="str">
        <f t="shared" si="8"/>
        <v/>
      </c>
      <c r="Q134" s="157">
        <f t="shared" si="9"/>
        <v>0</v>
      </c>
      <c r="R134" s="157">
        <f t="shared" si="10"/>
        <v>0</v>
      </c>
      <c r="S134" s="149">
        <f t="shared" si="11"/>
        <v>0</v>
      </c>
      <c r="T134" s="44"/>
    </row>
    <row r="135" spans="1:20" s="46" customFormat="1" ht="14.25" customHeight="1">
      <c r="A135" s="38"/>
      <c r="B135" s="56"/>
      <c r="C135" s="155">
        <f>IF($B135&lt;&gt;"",VLOOKUP($B135,Matriz_INM,2,0),0)</f>
        <v>0</v>
      </c>
      <c r="D135" s="44"/>
      <c r="E135" s="44"/>
      <c r="F135" s="44"/>
      <c r="G135" s="44"/>
      <c r="H135" s="45"/>
      <c r="I135" s="156" t="str">
        <f>IFERROR(VLOOKUP($B135,Matriz_INM,3,0),"")</f>
        <v/>
      </c>
      <c r="J135" s="57"/>
      <c r="K135" s="57"/>
      <c r="L135" s="57"/>
      <c r="M135" s="44"/>
      <c r="N135" s="45" t="str">
        <f t="shared" si="6"/>
        <v/>
      </c>
      <c r="O135" s="45" t="str">
        <f t="shared" si="7"/>
        <v/>
      </c>
      <c r="P135" s="149" t="str">
        <f t="shared" si="8"/>
        <v/>
      </c>
      <c r="Q135" s="157">
        <f t="shared" si="9"/>
        <v>0</v>
      </c>
      <c r="R135" s="157">
        <f t="shared" si="10"/>
        <v>0</v>
      </c>
      <c r="S135" s="149">
        <f t="shared" si="11"/>
        <v>0</v>
      </c>
      <c r="T135" s="44"/>
    </row>
    <row r="136" spans="1:20" s="46" customFormat="1" ht="14.25" customHeight="1">
      <c r="A136" s="38"/>
      <c r="B136" s="56"/>
      <c r="C136" s="155">
        <f>IF($B136&lt;&gt;"",VLOOKUP($B136,Matriz_INM,2,0),0)</f>
        <v>0</v>
      </c>
      <c r="D136" s="44"/>
      <c r="E136" s="44"/>
      <c r="F136" s="44"/>
      <c r="G136" s="44"/>
      <c r="H136" s="45"/>
      <c r="I136" s="156" t="str">
        <f>IFERROR(VLOOKUP($B136,Matriz_INM,3,0),"")</f>
        <v/>
      </c>
      <c r="J136" s="57"/>
      <c r="K136" s="57"/>
      <c r="L136" s="57"/>
      <c r="M136" s="44"/>
      <c r="N136" s="45" t="str">
        <f t="shared" si="6"/>
        <v/>
      </c>
      <c r="O136" s="45" t="str">
        <f t="shared" si="7"/>
        <v/>
      </c>
      <c r="P136" s="149" t="str">
        <f t="shared" si="8"/>
        <v/>
      </c>
      <c r="Q136" s="157">
        <f t="shared" si="9"/>
        <v>0</v>
      </c>
      <c r="R136" s="157">
        <f t="shared" si="10"/>
        <v>0</v>
      </c>
      <c r="S136" s="149">
        <f t="shared" si="11"/>
        <v>0</v>
      </c>
      <c r="T136" s="44"/>
    </row>
    <row r="137" spans="1:20" s="46" customFormat="1" ht="14.25" customHeight="1">
      <c r="A137" s="38"/>
      <c r="B137" s="56"/>
      <c r="C137" s="155">
        <f>IF($B137&lt;&gt;"",VLOOKUP($B137,Matriz_INM,2,0),0)</f>
        <v>0</v>
      </c>
      <c r="D137" s="44"/>
      <c r="E137" s="44"/>
      <c r="F137" s="44"/>
      <c r="G137" s="44"/>
      <c r="H137" s="45"/>
      <c r="I137" s="156" t="str">
        <f>IFERROR(VLOOKUP($B137,Matriz_INM,3,0),"")</f>
        <v/>
      </c>
      <c r="J137" s="57"/>
      <c r="K137" s="57"/>
      <c r="L137" s="57"/>
      <c r="M137" s="44"/>
      <c r="N137" s="45" t="str">
        <f t="shared" si="6"/>
        <v/>
      </c>
      <c r="O137" s="45" t="str">
        <f t="shared" si="7"/>
        <v/>
      </c>
      <c r="P137" s="149" t="str">
        <f t="shared" si="8"/>
        <v/>
      </c>
      <c r="Q137" s="157">
        <f t="shared" si="9"/>
        <v>0</v>
      </c>
      <c r="R137" s="157">
        <f t="shared" si="10"/>
        <v>0</v>
      </c>
      <c r="S137" s="149">
        <f t="shared" si="11"/>
        <v>0</v>
      </c>
      <c r="T137" s="44"/>
    </row>
    <row r="138" spans="1:20" s="46" customFormat="1" ht="14.25" customHeight="1">
      <c r="A138" s="38"/>
      <c r="B138" s="56"/>
      <c r="C138" s="155">
        <f>IF($B138&lt;&gt;"",VLOOKUP($B138,Matriz_INM,2,0),0)</f>
        <v>0</v>
      </c>
      <c r="D138" s="44"/>
      <c r="E138" s="44"/>
      <c r="F138" s="44"/>
      <c r="G138" s="44"/>
      <c r="H138" s="45"/>
      <c r="I138" s="156" t="str">
        <f>IFERROR(VLOOKUP($B138,Matriz_INM,3,0),"")</f>
        <v/>
      </c>
      <c r="J138" s="57"/>
      <c r="K138" s="57"/>
      <c r="L138" s="57"/>
      <c r="M138" s="44"/>
      <c r="N138" s="45" t="str">
        <f t="shared" si="6"/>
        <v/>
      </c>
      <c r="O138" s="45" t="str">
        <f t="shared" si="7"/>
        <v/>
      </c>
      <c r="P138" s="149" t="str">
        <f t="shared" si="8"/>
        <v/>
      </c>
      <c r="Q138" s="157">
        <f t="shared" si="9"/>
        <v>0</v>
      </c>
      <c r="R138" s="157">
        <f t="shared" si="10"/>
        <v>0</v>
      </c>
      <c r="S138" s="149">
        <f t="shared" si="11"/>
        <v>0</v>
      </c>
      <c r="T138" s="44"/>
    </row>
    <row r="139" spans="1:20" s="46" customFormat="1" ht="14.25" customHeight="1">
      <c r="A139" s="38"/>
      <c r="B139" s="56"/>
      <c r="C139" s="155">
        <f>IF($B139&lt;&gt;"",VLOOKUP($B139,Matriz_INM,2,0),0)</f>
        <v>0</v>
      </c>
      <c r="D139" s="44"/>
      <c r="E139" s="44"/>
      <c r="F139" s="44"/>
      <c r="G139" s="44"/>
      <c r="H139" s="45"/>
      <c r="I139" s="156" t="str">
        <f>IFERROR(VLOOKUP($B139,Matriz_INM,3,0),"")</f>
        <v/>
      </c>
      <c r="J139" s="57"/>
      <c r="K139" s="57"/>
      <c r="L139" s="57"/>
      <c r="M139" s="44"/>
      <c r="N139" s="45" t="str">
        <f t="shared" ref="N139:N202" si="12">IF(M139="EE",IF(OR(AND(OR(L139=1,L139=0),K139&gt;0,K139&lt;5),AND(OR(L139=1,L139=0),K139&gt;4,K139&lt;16),AND(L139=2,K139&gt;0,K139&lt;5)),"Simples",IF(OR(AND(OR(L139=1,L139=0),K139&gt;15),AND(L139=2,K139&gt;4,K139&lt;16),AND(L139&gt;2,K139&gt;0,K139&lt;5)),"Médio",IF(OR(AND(L139=2,K139&gt;15),AND(L139&gt;2,K139&gt;4,K139&lt;16),AND(L139&gt;2,K139&gt;15)),"Complexo",""))),
IF(OR(M139="CE",M139="SE"),IF(OR(AND(OR(L139=1,L139=0),K139&gt;0,K139&lt;6),AND(OR(L139=1,L139=0),K139&gt;5,K139&lt;20),AND(L139&gt;1,L139&lt;4,K139&gt;0,K139&lt;6)),"Simples",IF(OR(AND(OR(L139=1,L139=0),K139&gt;19),AND(L139&gt;1,L139&lt;4,K139&gt;5,K139&lt;20),AND(L139&gt;3,K139&gt;0,K139&lt;6)),"Médio",IF(OR(AND(L139&gt;1,L139&lt;4,K139&gt;19),AND(L139&gt;3,K139&gt;5,K139&lt;20),AND(L139&gt;3,K139&gt;19)),"Complexo",""))),""))</f>
        <v/>
      </c>
      <c r="O139" s="45" t="str">
        <f t="shared" ref="O139:O202" si="13">IF(M139="ALI",IF(OR(AND(OR(L139=1,L139=0),K139&gt;0,K139&lt;20),AND(OR(L139=1,L139=0),K139&gt;19,K139&lt;51),AND(L139&gt;1,L139&lt;6,K139&gt;0,K139&lt;20)),"Simples",IF(OR(AND(OR(L139=1,L139=0),K139&gt;50),AND(L139&gt;1,L139&lt;6,K139&gt;19,K139&lt;51),AND(L139&gt;5,K139&gt;0,K139&lt;20)),"Médio",IF(OR(AND(L139&gt;1,L139&lt;6,K139&gt;50),AND(L139&gt;5,K139&gt;19,K139&lt;51),AND(L139&gt;5,K139&gt;50)),"Complexo",""))),
IF(M139="AIE",IF(OR(AND(OR(L139=1, L139=0),K139&gt;0,K139&lt;20),AND(OR(L139=1, L139=0),K139&gt;19,K139&lt;51),AND(L139&gt;1,L139&lt;6,K139&gt;0,K139&lt;20)),"Simples",IF(OR(AND(OR(L139=1, L139=0),K139&gt;50),AND(L139&gt;1,L139&lt;6,K139&gt;19,K139&lt;51),AND(L139&gt;5,K139&gt;0,K139&lt;20)),"Médio",IF(OR(AND(L139&gt;1,L139&lt;6,K139&gt;50),AND(L139&gt;5,K139&gt;19,K139&lt;51),AND(L139&gt;5,K139&gt;50)),"Complexo",""))),""))</f>
        <v/>
      </c>
      <c r="P139" s="149" t="str">
        <f t="shared" ref="P139:P202" si="14">IF(N139="",O139,IF(O139="",N139,""))</f>
        <v/>
      </c>
      <c r="Q139" s="157">
        <f t="shared" ref="Q139:Q202" si="15">IF(AND(OR(M139="EE",M139="CE"),P139="Simples"),3,
IF(AND(OR(M139="EE",M139="CE"),P139="Médio"),4,
IF(AND(OR(M139="EE",M139="CE"),P139="Complexo"),6,
IF(AND(M139="SE",P139="Simples"),4,
IF(AND(M139="SE",P139="Médio"),5,
IF(AND(M139="SE",P139="Complexo"),7,0))))))</f>
        <v>0</v>
      </c>
      <c r="R139" s="157">
        <f t="shared" ref="R139:R202" si="16">IF(AND(M139="ALI",O139="Simples"),7,
IF(AND(M139="ALI",O139="Médio"),10,
IF(AND(M139="ALI",O139="Complexo"),15,
IF(AND(M139="AIE",O139="Simples"),5,
IF(AND(M139="AIE",O139="Médio"),7,
IF(AND(M139="AIE",O139="Complexo"),10,0))))))</f>
        <v>0</v>
      </c>
      <c r="S139" s="149">
        <f t="shared" si="11"/>
        <v>0</v>
      </c>
      <c r="T139" s="44"/>
    </row>
    <row r="140" spans="1:20" s="46" customFormat="1" ht="14.25" customHeight="1">
      <c r="A140" s="38"/>
      <c r="B140" s="56"/>
      <c r="C140" s="155">
        <f>IF($B140&lt;&gt;"",VLOOKUP($B140,Matriz_INM,2,0),0)</f>
        <v>0</v>
      </c>
      <c r="D140" s="44"/>
      <c r="E140" s="44"/>
      <c r="F140" s="44"/>
      <c r="G140" s="44"/>
      <c r="H140" s="45"/>
      <c r="I140" s="156" t="str">
        <f>IFERROR(VLOOKUP($B140,Matriz_INM,3,0),"")</f>
        <v/>
      </c>
      <c r="J140" s="57"/>
      <c r="K140" s="57"/>
      <c r="L140" s="57"/>
      <c r="M140" s="44"/>
      <c r="N140" s="45" t="str">
        <f t="shared" si="12"/>
        <v/>
      </c>
      <c r="O140" s="45" t="str">
        <f t="shared" si="13"/>
        <v/>
      </c>
      <c r="P140" s="149" t="str">
        <f t="shared" si="14"/>
        <v/>
      </c>
      <c r="Q140" s="157">
        <f t="shared" si="15"/>
        <v>0</v>
      </c>
      <c r="R140" s="157">
        <f t="shared" si="16"/>
        <v>0</v>
      </c>
      <c r="S140" s="149">
        <f t="shared" ref="S140:S203" si="17">IF($I140="%",($Q140+$R140)*$C140,$C140)</f>
        <v>0</v>
      </c>
      <c r="T140" s="44"/>
    </row>
    <row r="141" spans="1:20" s="46" customFormat="1" ht="14.25" customHeight="1">
      <c r="A141" s="38"/>
      <c r="B141" s="56"/>
      <c r="C141" s="155">
        <f>IF($B141&lt;&gt;"",VLOOKUP($B141,Matriz_INM,2,0),0)</f>
        <v>0</v>
      </c>
      <c r="D141" s="44"/>
      <c r="E141" s="44"/>
      <c r="F141" s="44"/>
      <c r="G141" s="44"/>
      <c r="H141" s="45"/>
      <c r="I141" s="156" t="str">
        <f>IFERROR(VLOOKUP($B141,Matriz_INM,3,0),"")</f>
        <v/>
      </c>
      <c r="J141" s="57"/>
      <c r="K141" s="57"/>
      <c r="L141" s="57"/>
      <c r="M141" s="44"/>
      <c r="N141" s="45" t="str">
        <f t="shared" si="12"/>
        <v/>
      </c>
      <c r="O141" s="45" t="str">
        <f t="shared" si="13"/>
        <v/>
      </c>
      <c r="P141" s="149" t="str">
        <f t="shared" si="14"/>
        <v/>
      </c>
      <c r="Q141" s="157">
        <f t="shared" si="15"/>
        <v>0</v>
      </c>
      <c r="R141" s="157">
        <f t="shared" si="16"/>
        <v>0</v>
      </c>
      <c r="S141" s="149">
        <f t="shared" si="17"/>
        <v>0</v>
      </c>
      <c r="T141" s="44"/>
    </row>
    <row r="142" spans="1:20" s="46" customFormat="1" ht="14.25" customHeight="1">
      <c r="A142" s="38"/>
      <c r="B142" s="56"/>
      <c r="C142" s="155">
        <f>IF($B142&lt;&gt;"",VLOOKUP($B142,Matriz_INM,2,0),0)</f>
        <v>0</v>
      </c>
      <c r="D142" s="44"/>
      <c r="E142" s="44"/>
      <c r="F142" s="44"/>
      <c r="G142" s="44"/>
      <c r="H142" s="45"/>
      <c r="I142" s="156" t="str">
        <f>IFERROR(VLOOKUP($B142,Matriz_INM,3,0),"")</f>
        <v/>
      </c>
      <c r="J142" s="57"/>
      <c r="K142" s="57"/>
      <c r="L142" s="57"/>
      <c r="M142" s="44"/>
      <c r="N142" s="45" t="str">
        <f t="shared" si="12"/>
        <v/>
      </c>
      <c r="O142" s="45" t="str">
        <f t="shared" si="13"/>
        <v/>
      </c>
      <c r="P142" s="149" t="str">
        <f t="shared" si="14"/>
        <v/>
      </c>
      <c r="Q142" s="157">
        <f t="shared" si="15"/>
        <v>0</v>
      </c>
      <c r="R142" s="157">
        <f t="shared" si="16"/>
        <v>0</v>
      </c>
      <c r="S142" s="149">
        <f t="shared" si="17"/>
        <v>0</v>
      </c>
      <c r="T142" s="44"/>
    </row>
    <row r="143" spans="1:20" s="46" customFormat="1" ht="14.25" customHeight="1">
      <c r="A143" s="38"/>
      <c r="B143" s="56"/>
      <c r="C143" s="155">
        <f>IF($B143&lt;&gt;"",VLOOKUP($B143,Matriz_INM,2,0),0)</f>
        <v>0</v>
      </c>
      <c r="D143" s="44"/>
      <c r="E143" s="44"/>
      <c r="F143" s="44"/>
      <c r="G143" s="44"/>
      <c r="H143" s="45"/>
      <c r="I143" s="156" t="str">
        <f>IFERROR(VLOOKUP($B143,Matriz_INM,3,0),"")</f>
        <v/>
      </c>
      <c r="J143" s="57"/>
      <c r="K143" s="57"/>
      <c r="L143" s="57"/>
      <c r="M143" s="44"/>
      <c r="N143" s="45" t="str">
        <f t="shared" si="12"/>
        <v/>
      </c>
      <c r="O143" s="45" t="str">
        <f t="shared" si="13"/>
        <v/>
      </c>
      <c r="P143" s="149" t="str">
        <f t="shared" si="14"/>
        <v/>
      </c>
      <c r="Q143" s="157">
        <f t="shared" si="15"/>
        <v>0</v>
      </c>
      <c r="R143" s="157">
        <f t="shared" si="16"/>
        <v>0</v>
      </c>
      <c r="S143" s="149">
        <f t="shared" si="17"/>
        <v>0</v>
      </c>
      <c r="T143" s="44"/>
    </row>
    <row r="144" spans="1:20" s="46" customFormat="1" ht="14.25" customHeight="1">
      <c r="A144" s="38"/>
      <c r="B144" s="56"/>
      <c r="C144" s="155">
        <f>IF($B144&lt;&gt;"",VLOOKUP($B144,Matriz_INM,2,0),0)</f>
        <v>0</v>
      </c>
      <c r="D144" s="44"/>
      <c r="E144" s="44"/>
      <c r="F144" s="44"/>
      <c r="G144" s="44"/>
      <c r="H144" s="45"/>
      <c r="I144" s="156" t="str">
        <f>IFERROR(VLOOKUP($B144,Matriz_INM,3,0),"")</f>
        <v/>
      </c>
      <c r="J144" s="57"/>
      <c r="K144" s="57"/>
      <c r="L144" s="57"/>
      <c r="M144" s="44"/>
      <c r="N144" s="45" t="str">
        <f t="shared" si="12"/>
        <v/>
      </c>
      <c r="O144" s="45" t="str">
        <f t="shared" si="13"/>
        <v/>
      </c>
      <c r="P144" s="149" t="str">
        <f t="shared" si="14"/>
        <v/>
      </c>
      <c r="Q144" s="157">
        <f t="shared" si="15"/>
        <v>0</v>
      </c>
      <c r="R144" s="157">
        <f t="shared" si="16"/>
        <v>0</v>
      </c>
      <c r="S144" s="149">
        <f t="shared" si="17"/>
        <v>0</v>
      </c>
      <c r="T144" s="44"/>
    </row>
    <row r="145" spans="1:23" s="46" customFormat="1" ht="14.25" customHeight="1">
      <c r="A145" s="38"/>
      <c r="B145" s="56"/>
      <c r="C145" s="155">
        <f>IF($B145&lt;&gt;"",VLOOKUP($B145,Matriz_INM,2,0),0)</f>
        <v>0</v>
      </c>
      <c r="D145" s="44"/>
      <c r="E145" s="44"/>
      <c r="F145" s="44"/>
      <c r="G145" s="44"/>
      <c r="H145" s="45"/>
      <c r="I145" s="156" t="str">
        <f>IFERROR(VLOOKUP($B145,Matriz_INM,3,0),"")</f>
        <v/>
      </c>
      <c r="J145" s="57"/>
      <c r="K145" s="57"/>
      <c r="L145" s="57"/>
      <c r="M145" s="44"/>
      <c r="N145" s="45" t="str">
        <f t="shared" si="12"/>
        <v/>
      </c>
      <c r="O145" s="45" t="str">
        <f t="shared" si="13"/>
        <v/>
      </c>
      <c r="P145" s="149" t="str">
        <f t="shared" si="14"/>
        <v/>
      </c>
      <c r="Q145" s="157">
        <f t="shared" si="15"/>
        <v>0</v>
      </c>
      <c r="R145" s="157">
        <f t="shared" si="16"/>
        <v>0</v>
      </c>
      <c r="S145" s="149">
        <f t="shared" si="17"/>
        <v>0</v>
      </c>
      <c r="T145" s="44"/>
    </row>
    <row r="146" spans="1:23" s="46" customFormat="1" ht="14.25" customHeight="1">
      <c r="A146" s="38"/>
      <c r="B146" s="56"/>
      <c r="C146" s="155">
        <f>IF($B146&lt;&gt;"",VLOOKUP($B146,Matriz_INM,2,0),0)</f>
        <v>0</v>
      </c>
      <c r="D146" s="44"/>
      <c r="E146" s="44"/>
      <c r="F146" s="44"/>
      <c r="G146" s="44"/>
      <c r="H146" s="45"/>
      <c r="I146" s="156" t="str">
        <f>IFERROR(VLOOKUP($B146,Matriz_INM,3,0),"")</f>
        <v/>
      </c>
      <c r="J146" s="57"/>
      <c r="K146" s="57"/>
      <c r="L146" s="57"/>
      <c r="M146" s="44"/>
      <c r="N146" s="45" t="str">
        <f t="shared" si="12"/>
        <v/>
      </c>
      <c r="O146" s="45" t="str">
        <f t="shared" si="13"/>
        <v/>
      </c>
      <c r="P146" s="149" t="str">
        <f t="shared" si="14"/>
        <v/>
      </c>
      <c r="Q146" s="157">
        <f t="shared" si="15"/>
        <v>0</v>
      </c>
      <c r="R146" s="157">
        <f t="shared" si="16"/>
        <v>0</v>
      </c>
      <c r="S146" s="149">
        <f t="shared" si="17"/>
        <v>0</v>
      </c>
      <c r="T146" s="44"/>
    </row>
    <row r="147" spans="1:23" s="46" customFormat="1" ht="14.25" customHeight="1">
      <c r="A147" s="38"/>
      <c r="B147" s="56"/>
      <c r="C147" s="155">
        <f>IF($B147&lt;&gt;"",VLOOKUP($B147,Matriz_INM,2,0),0)</f>
        <v>0</v>
      </c>
      <c r="D147" s="44"/>
      <c r="E147" s="44"/>
      <c r="F147" s="44"/>
      <c r="G147" s="44"/>
      <c r="H147" s="45"/>
      <c r="I147" s="156" t="str">
        <f>IFERROR(VLOOKUP($B147,Matriz_INM,3,0),"")</f>
        <v/>
      </c>
      <c r="J147" s="57"/>
      <c r="K147" s="57"/>
      <c r="L147" s="57"/>
      <c r="M147" s="44"/>
      <c r="N147" s="45" t="str">
        <f t="shared" si="12"/>
        <v/>
      </c>
      <c r="O147" s="45" t="str">
        <f t="shared" si="13"/>
        <v/>
      </c>
      <c r="P147" s="149" t="str">
        <f t="shared" si="14"/>
        <v/>
      </c>
      <c r="Q147" s="157">
        <f t="shared" si="15"/>
        <v>0</v>
      </c>
      <c r="R147" s="157">
        <f t="shared" si="16"/>
        <v>0</v>
      </c>
      <c r="S147" s="149">
        <f t="shared" si="17"/>
        <v>0</v>
      </c>
      <c r="T147" s="44"/>
    </row>
    <row r="148" spans="1:23" s="46" customFormat="1" ht="14.25" customHeight="1">
      <c r="A148" s="38"/>
      <c r="B148" s="56"/>
      <c r="C148" s="155">
        <f>IF($B148&lt;&gt;"",VLOOKUP($B148,Matriz_INM,2,0),0)</f>
        <v>0</v>
      </c>
      <c r="D148" s="44"/>
      <c r="E148" s="44"/>
      <c r="F148" s="44"/>
      <c r="G148" s="44"/>
      <c r="H148" s="45"/>
      <c r="I148" s="156" t="str">
        <f>IFERROR(VLOOKUP($B148,Matriz_INM,3,0),"")</f>
        <v/>
      </c>
      <c r="J148" s="57"/>
      <c r="K148" s="57"/>
      <c r="L148" s="57"/>
      <c r="M148" s="44"/>
      <c r="N148" s="45" t="str">
        <f t="shared" si="12"/>
        <v/>
      </c>
      <c r="O148" s="45" t="str">
        <f t="shared" si="13"/>
        <v/>
      </c>
      <c r="P148" s="149" t="str">
        <f t="shared" si="14"/>
        <v/>
      </c>
      <c r="Q148" s="157">
        <f t="shared" si="15"/>
        <v>0</v>
      </c>
      <c r="R148" s="157">
        <f t="shared" si="16"/>
        <v>0</v>
      </c>
      <c r="S148" s="149">
        <f t="shared" si="17"/>
        <v>0</v>
      </c>
      <c r="T148" s="44"/>
    </row>
    <row r="149" spans="1:23" s="46" customFormat="1" ht="14.25" customHeight="1">
      <c r="A149" s="38"/>
      <c r="B149" s="56"/>
      <c r="C149" s="155">
        <f>IF($B149&lt;&gt;"",VLOOKUP($B149,Matriz_INM,2,0),0)</f>
        <v>0</v>
      </c>
      <c r="D149" s="44"/>
      <c r="E149" s="44"/>
      <c r="F149" s="44"/>
      <c r="G149" s="44"/>
      <c r="H149" s="45"/>
      <c r="I149" s="156" t="str">
        <f>IFERROR(VLOOKUP($B149,Matriz_INM,3,0),"")</f>
        <v/>
      </c>
      <c r="J149" s="57"/>
      <c r="K149" s="57"/>
      <c r="L149" s="57"/>
      <c r="M149" s="44"/>
      <c r="N149" s="45" t="str">
        <f t="shared" si="12"/>
        <v/>
      </c>
      <c r="O149" s="45" t="str">
        <f t="shared" si="13"/>
        <v/>
      </c>
      <c r="P149" s="149" t="str">
        <f t="shared" si="14"/>
        <v/>
      </c>
      <c r="Q149" s="157">
        <f t="shared" si="15"/>
        <v>0</v>
      </c>
      <c r="R149" s="157">
        <f t="shared" si="16"/>
        <v>0</v>
      </c>
      <c r="S149" s="149">
        <f t="shared" si="17"/>
        <v>0</v>
      </c>
      <c r="T149" s="44"/>
    </row>
    <row r="150" spans="1:23" s="46" customFormat="1" ht="14.25" customHeight="1">
      <c r="A150" s="38"/>
      <c r="B150" s="56"/>
      <c r="C150" s="155">
        <f>IF($B150&lt;&gt;"",VLOOKUP($B150,Matriz_INM,2,0),0)</f>
        <v>0</v>
      </c>
      <c r="D150" s="44"/>
      <c r="E150" s="44"/>
      <c r="F150" s="44"/>
      <c r="G150" s="44"/>
      <c r="H150" s="45"/>
      <c r="I150" s="156" t="str">
        <f>IFERROR(VLOOKUP($B150,Matriz_INM,3,0),"")</f>
        <v/>
      </c>
      <c r="J150" s="57"/>
      <c r="K150" s="57"/>
      <c r="L150" s="57"/>
      <c r="M150" s="44"/>
      <c r="N150" s="45" t="str">
        <f t="shared" si="12"/>
        <v/>
      </c>
      <c r="O150" s="45" t="str">
        <f t="shared" si="13"/>
        <v/>
      </c>
      <c r="P150" s="149" t="str">
        <f t="shared" si="14"/>
        <v/>
      </c>
      <c r="Q150" s="157">
        <f t="shared" si="15"/>
        <v>0</v>
      </c>
      <c r="R150" s="157">
        <f t="shared" si="16"/>
        <v>0</v>
      </c>
      <c r="S150" s="149">
        <f t="shared" si="17"/>
        <v>0</v>
      </c>
      <c r="T150" s="44"/>
    </row>
    <row r="151" spans="1:23" s="46" customFormat="1" ht="14.25" customHeight="1">
      <c r="A151" s="38"/>
      <c r="B151" s="56"/>
      <c r="C151" s="155">
        <f>IF($B151&lt;&gt;"",VLOOKUP($B151,Matriz_INM,2,0),0)</f>
        <v>0</v>
      </c>
      <c r="D151" s="44"/>
      <c r="E151" s="44"/>
      <c r="F151" s="44"/>
      <c r="G151" s="44"/>
      <c r="H151" s="45"/>
      <c r="I151" s="156" t="str">
        <f>IFERROR(VLOOKUP($B151,Matriz_INM,3,0),"")</f>
        <v/>
      </c>
      <c r="J151" s="57"/>
      <c r="K151" s="57"/>
      <c r="L151" s="57"/>
      <c r="M151" s="44"/>
      <c r="N151" s="45" t="str">
        <f t="shared" si="12"/>
        <v/>
      </c>
      <c r="O151" s="45" t="str">
        <f t="shared" si="13"/>
        <v/>
      </c>
      <c r="P151" s="149" t="str">
        <f t="shared" si="14"/>
        <v/>
      </c>
      <c r="Q151" s="157">
        <f t="shared" si="15"/>
        <v>0</v>
      </c>
      <c r="R151" s="157">
        <f t="shared" si="16"/>
        <v>0</v>
      </c>
      <c r="S151" s="149">
        <f t="shared" si="17"/>
        <v>0</v>
      </c>
      <c r="T151" s="44"/>
    </row>
    <row r="152" spans="1:23" s="46" customFormat="1" ht="14.25" customHeight="1">
      <c r="A152" s="38"/>
      <c r="B152" s="56"/>
      <c r="C152" s="155">
        <f>IF($B152&lt;&gt;"",VLOOKUP($B152,Matriz_INM,2,0),0)</f>
        <v>0</v>
      </c>
      <c r="D152" s="44"/>
      <c r="E152" s="44"/>
      <c r="F152" s="44"/>
      <c r="G152" s="44"/>
      <c r="H152" s="45"/>
      <c r="I152" s="156" t="str">
        <f>IFERROR(VLOOKUP($B152,Matriz_INM,3,0),"")</f>
        <v/>
      </c>
      <c r="J152" s="57"/>
      <c r="K152" s="57"/>
      <c r="L152" s="57"/>
      <c r="M152" s="44"/>
      <c r="N152" s="45" t="str">
        <f t="shared" si="12"/>
        <v/>
      </c>
      <c r="O152" s="45" t="str">
        <f t="shared" si="13"/>
        <v/>
      </c>
      <c r="P152" s="149" t="str">
        <f t="shared" si="14"/>
        <v/>
      </c>
      <c r="Q152" s="157">
        <f t="shared" si="15"/>
        <v>0</v>
      </c>
      <c r="R152" s="157">
        <f t="shared" si="16"/>
        <v>0</v>
      </c>
      <c r="S152" s="149">
        <f t="shared" si="17"/>
        <v>0</v>
      </c>
      <c r="T152" s="44"/>
      <c r="W152" s="60"/>
    </row>
    <row r="153" spans="1:23" s="46" customFormat="1" ht="14.25" customHeight="1">
      <c r="A153" s="38"/>
      <c r="B153" s="56"/>
      <c r="C153" s="155">
        <f>IF($B153&lt;&gt;"",VLOOKUP($B153,Matriz_INM,2,0),0)</f>
        <v>0</v>
      </c>
      <c r="D153" s="44"/>
      <c r="E153" s="44"/>
      <c r="F153" s="44"/>
      <c r="G153" s="44"/>
      <c r="H153" s="45"/>
      <c r="I153" s="156" t="str">
        <f>IFERROR(VLOOKUP($B153,Matriz_INM,3,0),"")</f>
        <v/>
      </c>
      <c r="J153" s="57"/>
      <c r="K153" s="57"/>
      <c r="L153" s="57"/>
      <c r="M153" s="44"/>
      <c r="N153" s="45" t="str">
        <f t="shared" si="12"/>
        <v/>
      </c>
      <c r="O153" s="45" t="str">
        <f t="shared" si="13"/>
        <v/>
      </c>
      <c r="P153" s="149" t="str">
        <f t="shared" si="14"/>
        <v/>
      </c>
      <c r="Q153" s="157">
        <f t="shared" si="15"/>
        <v>0</v>
      </c>
      <c r="R153" s="157">
        <f t="shared" si="16"/>
        <v>0</v>
      </c>
      <c r="S153" s="149">
        <f t="shared" si="17"/>
        <v>0</v>
      </c>
      <c r="T153" s="44"/>
    </row>
    <row r="154" spans="1:23" s="46" customFormat="1" ht="14.25" customHeight="1">
      <c r="A154" s="38"/>
      <c r="B154" s="56"/>
      <c r="C154" s="155">
        <f>IF($B154&lt;&gt;"",VLOOKUP($B154,Matriz_INM,2,0),0)</f>
        <v>0</v>
      </c>
      <c r="D154" s="44"/>
      <c r="E154" s="44"/>
      <c r="F154" s="44"/>
      <c r="G154" s="44"/>
      <c r="H154" s="45"/>
      <c r="I154" s="156" t="str">
        <f>IFERROR(VLOOKUP($B154,Matriz_INM,3,0),"")</f>
        <v/>
      </c>
      <c r="J154" s="57"/>
      <c r="K154" s="57"/>
      <c r="L154" s="57"/>
      <c r="M154" s="44"/>
      <c r="N154" s="45" t="str">
        <f t="shared" si="12"/>
        <v/>
      </c>
      <c r="O154" s="45" t="str">
        <f t="shared" si="13"/>
        <v/>
      </c>
      <c r="P154" s="149" t="str">
        <f t="shared" si="14"/>
        <v/>
      </c>
      <c r="Q154" s="157">
        <f t="shared" si="15"/>
        <v>0</v>
      </c>
      <c r="R154" s="157">
        <f t="shared" si="16"/>
        <v>0</v>
      </c>
      <c r="S154" s="149">
        <f t="shared" si="17"/>
        <v>0</v>
      </c>
      <c r="T154" s="44"/>
    </row>
    <row r="155" spans="1:23" s="46" customFormat="1" ht="14.25" customHeight="1">
      <c r="A155" s="38"/>
      <c r="B155" s="56"/>
      <c r="C155" s="155">
        <f>IF($B155&lt;&gt;"",VLOOKUP($B155,Matriz_INM,2,0),0)</f>
        <v>0</v>
      </c>
      <c r="D155" s="44"/>
      <c r="E155" s="44"/>
      <c r="F155" s="44"/>
      <c r="G155" s="44"/>
      <c r="H155" s="45"/>
      <c r="I155" s="156" t="str">
        <f>IFERROR(VLOOKUP($B155,Matriz_INM,3,0),"")</f>
        <v/>
      </c>
      <c r="J155" s="57"/>
      <c r="K155" s="57"/>
      <c r="L155" s="57"/>
      <c r="M155" s="44"/>
      <c r="N155" s="45" t="str">
        <f t="shared" si="12"/>
        <v/>
      </c>
      <c r="O155" s="45" t="str">
        <f t="shared" si="13"/>
        <v/>
      </c>
      <c r="P155" s="149" t="str">
        <f t="shared" si="14"/>
        <v/>
      </c>
      <c r="Q155" s="157">
        <f t="shared" si="15"/>
        <v>0</v>
      </c>
      <c r="R155" s="157">
        <f t="shared" si="16"/>
        <v>0</v>
      </c>
      <c r="S155" s="149">
        <f t="shared" si="17"/>
        <v>0</v>
      </c>
      <c r="T155" s="44"/>
    </row>
    <row r="156" spans="1:23" s="46" customFormat="1" ht="14.25" customHeight="1">
      <c r="A156" s="38"/>
      <c r="B156" s="56"/>
      <c r="C156" s="155">
        <f>IF($B156&lt;&gt;"",VLOOKUP($B156,Matriz_INM,2,0),0)</f>
        <v>0</v>
      </c>
      <c r="D156" s="44"/>
      <c r="E156" s="44"/>
      <c r="F156" s="44"/>
      <c r="G156" s="44"/>
      <c r="H156" s="45"/>
      <c r="I156" s="156" t="str">
        <f>IFERROR(VLOOKUP($B156,Matriz_INM,3,0),"")</f>
        <v/>
      </c>
      <c r="J156" s="57"/>
      <c r="K156" s="57"/>
      <c r="L156" s="57"/>
      <c r="M156" s="44"/>
      <c r="N156" s="45" t="str">
        <f t="shared" si="12"/>
        <v/>
      </c>
      <c r="O156" s="45" t="str">
        <f t="shared" si="13"/>
        <v/>
      </c>
      <c r="P156" s="149" t="str">
        <f t="shared" si="14"/>
        <v/>
      </c>
      <c r="Q156" s="157">
        <f t="shared" si="15"/>
        <v>0</v>
      </c>
      <c r="R156" s="157">
        <f t="shared" si="16"/>
        <v>0</v>
      </c>
      <c r="S156" s="149">
        <f t="shared" si="17"/>
        <v>0</v>
      </c>
      <c r="T156" s="44"/>
    </row>
    <row r="157" spans="1:23" s="46" customFormat="1" ht="14.25" customHeight="1">
      <c r="A157" s="38"/>
      <c r="B157" s="56"/>
      <c r="C157" s="155">
        <f>IF($B157&lt;&gt;"",VLOOKUP($B157,Matriz_INM,2,0),0)</f>
        <v>0</v>
      </c>
      <c r="D157" s="44"/>
      <c r="E157" s="44"/>
      <c r="F157" s="44"/>
      <c r="G157" s="44"/>
      <c r="H157" s="45"/>
      <c r="I157" s="156" t="str">
        <f>IFERROR(VLOOKUP($B157,Matriz_INM,3,0),"")</f>
        <v/>
      </c>
      <c r="J157" s="57"/>
      <c r="K157" s="57"/>
      <c r="L157" s="57"/>
      <c r="M157" s="44"/>
      <c r="N157" s="45" t="str">
        <f t="shared" si="12"/>
        <v/>
      </c>
      <c r="O157" s="45" t="str">
        <f t="shared" si="13"/>
        <v/>
      </c>
      <c r="P157" s="149" t="str">
        <f t="shared" si="14"/>
        <v/>
      </c>
      <c r="Q157" s="157">
        <f t="shared" si="15"/>
        <v>0</v>
      </c>
      <c r="R157" s="157">
        <f t="shared" si="16"/>
        <v>0</v>
      </c>
      <c r="S157" s="149">
        <f t="shared" si="17"/>
        <v>0</v>
      </c>
      <c r="T157" s="44"/>
    </row>
    <row r="158" spans="1:23" s="46" customFormat="1" ht="14.25" customHeight="1">
      <c r="A158" s="38"/>
      <c r="B158" s="56"/>
      <c r="C158" s="155">
        <f>IF($B158&lt;&gt;"",VLOOKUP($B158,Matriz_INM,2,0),0)</f>
        <v>0</v>
      </c>
      <c r="D158" s="44"/>
      <c r="E158" s="44"/>
      <c r="F158" s="44"/>
      <c r="G158" s="44"/>
      <c r="H158" s="45"/>
      <c r="I158" s="156" t="str">
        <f>IFERROR(VLOOKUP($B158,Matriz_INM,3,0),"")</f>
        <v/>
      </c>
      <c r="J158" s="57"/>
      <c r="K158" s="57"/>
      <c r="L158" s="57"/>
      <c r="M158" s="44"/>
      <c r="N158" s="45" t="str">
        <f t="shared" si="12"/>
        <v/>
      </c>
      <c r="O158" s="45" t="str">
        <f t="shared" si="13"/>
        <v/>
      </c>
      <c r="P158" s="149" t="str">
        <f t="shared" si="14"/>
        <v/>
      </c>
      <c r="Q158" s="157">
        <f t="shared" si="15"/>
        <v>0</v>
      </c>
      <c r="R158" s="157">
        <f t="shared" si="16"/>
        <v>0</v>
      </c>
      <c r="S158" s="149">
        <f t="shared" si="17"/>
        <v>0</v>
      </c>
      <c r="T158" s="44"/>
    </row>
    <row r="159" spans="1:23" s="46" customFormat="1" ht="14.25" customHeight="1">
      <c r="A159" s="38"/>
      <c r="B159" s="56"/>
      <c r="C159" s="155">
        <f>IF($B159&lt;&gt;"",VLOOKUP($B159,Matriz_INM,2,0),0)</f>
        <v>0</v>
      </c>
      <c r="D159" s="44"/>
      <c r="E159" s="44"/>
      <c r="F159" s="44"/>
      <c r="G159" s="44"/>
      <c r="H159" s="45"/>
      <c r="I159" s="156" t="str">
        <f>IFERROR(VLOOKUP($B159,Matriz_INM,3,0),"")</f>
        <v/>
      </c>
      <c r="J159" s="57"/>
      <c r="K159" s="57"/>
      <c r="L159" s="57"/>
      <c r="M159" s="44"/>
      <c r="N159" s="45" t="str">
        <f t="shared" si="12"/>
        <v/>
      </c>
      <c r="O159" s="45" t="str">
        <f t="shared" si="13"/>
        <v/>
      </c>
      <c r="P159" s="149" t="str">
        <f t="shared" si="14"/>
        <v/>
      </c>
      <c r="Q159" s="157">
        <f t="shared" si="15"/>
        <v>0</v>
      </c>
      <c r="R159" s="157">
        <f t="shared" si="16"/>
        <v>0</v>
      </c>
      <c r="S159" s="149">
        <f t="shared" si="17"/>
        <v>0</v>
      </c>
      <c r="T159" s="44"/>
    </row>
    <row r="160" spans="1:23" s="46" customFormat="1" ht="14.25" customHeight="1">
      <c r="A160" s="38"/>
      <c r="B160" s="56"/>
      <c r="C160" s="155">
        <f>IF($B160&lt;&gt;"",VLOOKUP($B160,Matriz_INM,2,0),0)</f>
        <v>0</v>
      </c>
      <c r="D160" s="44"/>
      <c r="E160" s="44"/>
      <c r="F160" s="44"/>
      <c r="G160" s="44"/>
      <c r="H160" s="45"/>
      <c r="I160" s="156" t="str">
        <f>IFERROR(VLOOKUP($B160,Matriz_INM,3,0),"")</f>
        <v/>
      </c>
      <c r="J160" s="57"/>
      <c r="K160" s="57"/>
      <c r="L160" s="57"/>
      <c r="M160" s="44"/>
      <c r="N160" s="45" t="str">
        <f t="shared" si="12"/>
        <v/>
      </c>
      <c r="O160" s="45" t="str">
        <f t="shared" si="13"/>
        <v/>
      </c>
      <c r="P160" s="149" t="str">
        <f t="shared" si="14"/>
        <v/>
      </c>
      <c r="Q160" s="157">
        <f t="shared" si="15"/>
        <v>0</v>
      </c>
      <c r="R160" s="157">
        <f t="shared" si="16"/>
        <v>0</v>
      </c>
      <c r="S160" s="149">
        <f t="shared" si="17"/>
        <v>0</v>
      </c>
      <c r="T160" s="44"/>
    </row>
    <row r="161" spans="1:20" s="46" customFormat="1" ht="14.25" customHeight="1">
      <c r="A161" s="38"/>
      <c r="B161" s="56"/>
      <c r="C161" s="155">
        <f>IF($B161&lt;&gt;"",VLOOKUP($B161,Matriz_INM,2,0),0)</f>
        <v>0</v>
      </c>
      <c r="D161" s="44"/>
      <c r="E161" s="44"/>
      <c r="F161" s="44"/>
      <c r="G161" s="44"/>
      <c r="H161" s="45"/>
      <c r="I161" s="156" t="str">
        <f>IFERROR(VLOOKUP($B161,Matriz_INM,3,0),"")</f>
        <v/>
      </c>
      <c r="J161" s="57"/>
      <c r="K161" s="57"/>
      <c r="L161" s="57"/>
      <c r="M161" s="44"/>
      <c r="N161" s="45" t="str">
        <f t="shared" si="12"/>
        <v/>
      </c>
      <c r="O161" s="45" t="str">
        <f t="shared" si="13"/>
        <v/>
      </c>
      <c r="P161" s="149" t="str">
        <f t="shared" si="14"/>
        <v/>
      </c>
      <c r="Q161" s="157">
        <f t="shared" si="15"/>
        <v>0</v>
      </c>
      <c r="R161" s="157">
        <f t="shared" si="16"/>
        <v>0</v>
      </c>
      <c r="S161" s="149">
        <f t="shared" si="17"/>
        <v>0</v>
      </c>
      <c r="T161" s="44"/>
    </row>
    <row r="162" spans="1:20" s="46" customFormat="1" ht="14.25" customHeight="1">
      <c r="A162" s="38"/>
      <c r="B162" s="56"/>
      <c r="C162" s="155">
        <f>IF($B162&lt;&gt;"",VLOOKUP($B162,Matriz_INM,2,0),0)</f>
        <v>0</v>
      </c>
      <c r="D162" s="44"/>
      <c r="E162" s="44"/>
      <c r="F162" s="44"/>
      <c r="G162" s="44"/>
      <c r="H162" s="45"/>
      <c r="I162" s="156" t="str">
        <f>IFERROR(VLOOKUP($B162,Matriz_INM,3,0),"")</f>
        <v/>
      </c>
      <c r="J162" s="57"/>
      <c r="K162" s="57"/>
      <c r="L162" s="57"/>
      <c r="M162" s="44"/>
      <c r="N162" s="45" t="str">
        <f t="shared" si="12"/>
        <v/>
      </c>
      <c r="O162" s="45" t="str">
        <f t="shared" si="13"/>
        <v/>
      </c>
      <c r="P162" s="149" t="str">
        <f t="shared" si="14"/>
        <v/>
      </c>
      <c r="Q162" s="157">
        <f t="shared" si="15"/>
        <v>0</v>
      </c>
      <c r="R162" s="157">
        <f t="shared" si="16"/>
        <v>0</v>
      </c>
      <c r="S162" s="149">
        <f t="shared" si="17"/>
        <v>0</v>
      </c>
      <c r="T162" s="44"/>
    </row>
    <row r="163" spans="1:20" s="46" customFormat="1" ht="14.25" customHeight="1">
      <c r="A163" s="38"/>
      <c r="B163" s="56"/>
      <c r="C163" s="155">
        <f>IF($B163&lt;&gt;"",VLOOKUP($B163,Matriz_INM,2,0),0)</f>
        <v>0</v>
      </c>
      <c r="D163" s="44"/>
      <c r="E163" s="44"/>
      <c r="F163" s="44"/>
      <c r="G163" s="44"/>
      <c r="H163" s="45"/>
      <c r="I163" s="156" t="str">
        <f>IFERROR(VLOOKUP($B163,Matriz_INM,3,0),"")</f>
        <v/>
      </c>
      <c r="J163" s="57"/>
      <c r="K163" s="57"/>
      <c r="L163" s="57"/>
      <c r="M163" s="44"/>
      <c r="N163" s="45" t="str">
        <f t="shared" si="12"/>
        <v/>
      </c>
      <c r="O163" s="45" t="str">
        <f t="shared" si="13"/>
        <v/>
      </c>
      <c r="P163" s="149" t="str">
        <f t="shared" si="14"/>
        <v/>
      </c>
      <c r="Q163" s="157">
        <f t="shared" si="15"/>
        <v>0</v>
      </c>
      <c r="R163" s="157">
        <f t="shared" si="16"/>
        <v>0</v>
      </c>
      <c r="S163" s="149">
        <f t="shared" si="17"/>
        <v>0</v>
      </c>
      <c r="T163" s="44"/>
    </row>
    <row r="164" spans="1:20" s="46" customFormat="1" ht="14.25" customHeight="1">
      <c r="A164" s="38"/>
      <c r="B164" s="56"/>
      <c r="C164" s="155">
        <f>IF($B164&lt;&gt;"",VLOOKUP($B164,Matriz_INM,2,0),0)</f>
        <v>0</v>
      </c>
      <c r="D164" s="44"/>
      <c r="E164" s="44"/>
      <c r="F164" s="44"/>
      <c r="G164" s="44"/>
      <c r="H164" s="45"/>
      <c r="I164" s="156" t="str">
        <f>IFERROR(VLOOKUP($B164,Matriz_INM,3,0),"")</f>
        <v/>
      </c>
      <c r="J164" s="57"/>
      <c r="K164" s="57"/>
      <c r="L164" s="57"/>
      <c r="M164" s="44"/>
      <c r="N164" s="45" t="str">
        <f t="shared" si="12"/>
        <v/>
      </c>
      <c r="O164" s="45" t="str">
        <f t="shared" si="13"/>
        <v/>
      </c>
      <c r="P164" s="149" t="str">
        <f t="shared" si="14"/>
        <v/>
      </c>
      <c r="Q164" s="157">
        <f t="shared" si="15"/>
        <v>0</v>
      </c>
      <c r="R164" s="157">
        <f t="shared" si="16"/>
        <v>0</v>
      </c>
      <c r="S164" s="149">
        <f t="shared" si="17"/>
        <v>0</v>
      </c>
      <c r="T164" s="44"/>
    </row>
    <row r="165" spans="1:20" s="46" customFormat="1" ht="14.25" customHeight="1">
      <c r="A165" s="38"/>
      <c r="B165" s="56"/>
      <c r="C165" s="155">
        <f>IF($B165&lt;&gt;"",VLOOKUP($B165,Matriz_INM,2,0),0)</f>
        <v>0</v>
      </c>
      <c r="D165" s="44"/>
      <c r="E165" s="44"/>
      <c r="F165" s="44"/>
      <c r="G165" s="44"/>
      <c r="H165" s="45"/>
      <c r="I165" s="156" t="str">
        <f>IFERROR(VLOOKUP($B165,Matriz_INM,3,0),"")</f>
        <v/>
      </c>
      <c r="J165" s="57"/>
      <c r="K165" s="57"/>
      <c r="L165" s="57"/>
      <c r="M165" s="44"/>
      <c r="N165" s="45" t="str">
        <f t="shared" si="12"/>
        <v/>
      </c>
      <c r="O165" s="45" t="str">
        <f t="shared" si="13"/>
        <v/>
      </c>
      <c r="P165" s="149" t="str">
        <f t="shared" si="14"/>
        <v/>
      </c>
      <c r="Q165" s="157">
        <f t="shared" si="15"/>
        <v>0</v>
      </c>
      <c r="R165" s="157">
        <f t="shared" si="16"/>
        <v>0</v>
      </c>
      <c r="S165" s="149">
        <f t="shared" si="17"/>
        <v>0</v>
      </c>
      <c r="T165" s="44"/>
    </row>
    <row r="166" spans="1:20" s="46" customFormat="1" ht="14.25" customHeight="1">
      <c r="A166" s="38"/>
      <c r="B166" s="56"/>
      <c r="C166" s="155">
        <f>IF($B166&lt;&gt;"",VLOOKUP($B166,Matriz_INM,2,0),0)</f>
        <v>0</v>
      </c>
      <c r="D166" s="44"/>
      <c r="E166" s="44"/>
      <c r="F166" s="44"/>
      <c r="G166" s="44"/>
      <c r="H166" s="45"/>
      <c r="I166" s="156" t="str">
        <f>IFERROR(VLOOKUP($B166,Matriz_INM,3,0),"")</f>
        <v/>
      </c>
      <c r="J166" s="57"/>
      <c r="K166" s="57"/>
      <c r="L166" s="57"/>
      <c r="M166" s="44"/>
      <c r="N166" s="45" t="str">
        <f t="shared" si="12"/>
        <v/>
      </c>
      <c r="O166" s="45" t="str">
        <f t="shared" si="13"/>
        <v/>
      </c>
      <c r="P166" s="149" t="str">
        <f t="shared" si="14"/>
        <v/>
      </c>
      <c r="Q166" s="157">
        <f t="shared" si="15"/>
        <v>0</v>
      </c>
      <c r="R166" s="157">
        <f t="shared" si="16"/>
        <v>0</v>
      </c>
      <c r="S166" s="149">
        <f t="shared" si="17"/>
        <v>0</v>
      </c>
      <c r="T166" s="44"/>
    </row>
    <row r="167" spans="1:20" s="46" customFormat="1" ht="14.25" customHeight="1">
      <c r="A167" s="38"/>
      <c r="B167" s="56"/>
      <c r="C167" s="155">
        <f>IF($B167&lt;&gt;"",VLOOKUP($B167,Matriz_INM,2,0),0)</f>
        <v>0</v>
      </c>
      <c r="D167" s="44"/>
      <c r="E167" s="44"/>
      <c r="F167" s="44"/>
      <c r="G167" s="44"/>
      <c r="H167" s="45"/>
      <c r="I167" s="156" t="str">
        <f>IFERROR(VLOOKUP($B167,Matriz_INM,3,0),"")</f>
        <v/>
      </c>
      <c r="J167" s="57"/>
      <c r="K167" s="57"/>
      <c r="L167" s="57"/>
      <c r="M167" s="44"/>
      <c r="N167" s="45" t="str">
        <f t="shared" si="12"/>
        <v/>
      </c>
      <c r="O167" s="45" t="str">
        <f t="shared" si="13"/>
        <v/>
      </c>
      <c r="P167" s="149" t="str">
        <f t="shared" si="14"/>
        <v/>
      </c>
      <c r="Q167" s="157">
        <f t="shared" si="15"/>
        <v>0</v>
      </c>
      <c r="R167" s="157">
        <f t="shared" si="16"/>
        <v>0</v>
      </c>
      <c r="S167" s="149">
        <f t="shared" si="17"/>
        <v>0</v>
      </c>
      <c r="T167" s="44"/>
    </row>
    <row r="168" spans="1:20" s="46" customFormat="1" ht="14.25" customHeight="1">
      <c r="A168" s="38"/>
      <c r="B168" s="56"/>
      <c r="C168" s="155">
        <f>IF($B168&lt;&gt;"",VLOOKUP($B168,Matriz_INM,2,0),0)</f>
        <v>0</v>
      </c>
      <c r="D168" s="44"/>
      <c r="E168" s="44"/>
      <c r="F168" s="44"/>
      <c r="G168" s="44"/>
      <c r="H168" s="45"/>
      <c r="I168" s="156" t="str">
        <f>IFERROR(VLOOKUP($B168,Matriz_INM,3,0),"")</f>
        <v/>
      </c>
      <c r="J168" s="57"/>
      <c r="K168" s="57"/>
      <c r="L168" s="57"/>
      <c r="M168" s="44"/>
      <c r="N168" s="45" t="str">
        <f t="shared" si="12"/>
        <v/>
      </c>
      <c r="O168" s="45" t="str">
        <f t="shared" si="13"/>
        <v/>
      </c>
      <c r="P168" s="149" t="str">
        <f t="shared" si="14"/>
        <v/>
      </c>
      <c r="Q168" s="157">
        <f t="shared" si="15"/>
        <v>0</v>
      </c>
      <c r="R168" s="157">
        <f t="shared" si="16"/>
        <v>0</v>
      </c>
      <c r="S168" s="149">
        <f t="shared" si="17"/>
        <v>0</v>
      </c>
      <c r="T168" s="44"/>
    </row>
    <row r="169" spans="1:20" s="46" customFormat="1" ht="14.25" customHeight="1">
      <c r="A169" s="38"/>
      <c r="B169" s="56"/>
      <c r="C169" s="155">
        <f>IF($B169&lt;&gt;"",VLOOKUP($B169,Matriz_INM,2,0),0)</f>
        <v>0</v>
      </c>
      <c r="D169" s="44"/>
      <c r="E169" s="44"/>
      <c r="F169" s="44"/>
      <c r="G169" s="44"/>
      <c r="H169" s="45"/>
      <c r="I169" s="156" t="str">
        <f>IFERROR(VLOOKUP($B169,Matriz_INM,3,0),"")</f>
        <v/>
      </c>
      <c r="J169" s="57"/>
      <c r="K169" s="57"/>
      <c r="L169" s="57"/>
      <c r="M169" s="44"/>
      <c r="N169" s="45" t="str">
        <f t="shared" si="12"/>
        <v/>
      </c>
      <c r="O169" s="45" t="str">
        <f t="shared" si="13"/>
        <v/>
      </c>
      <c r="P169" s="149" t="str">
        <f t="shared" si="14"/>
        <v/>
      </c>
      <c r="Q169" s="157">
        <f t="shared" si="15"/>
        <v>0</v>
      </c>
      <c r="R169" s="157">
        <f t="shared" si="16"/>
        <v>0</v>
      </c>
      <c r="S169" s="149">
        <f t="shared" si="17"/>
        <v>0</v>
      </c>
      <c r="T169" s="44"/>
    </row>
    <row r="170" spans="1:20" s="46" customFormat="1" ht="14.25" customHeight="1">
      <c r="A170" s="38"/>
      <c r="B170" s="56"/>
      <c r="C170" s="155">
        <f>IF($B170&lt;&gt;"",VLOOKUP($B170,Matriz_INM,2,0),0)</f>
        <v>0</v>
      </c>
      <c r="D170" s="44"/>
      <c r="E170" s="44"/>
      <c r="F170" s="44"/>
      <c r="G170" s="44"/>
      <c r="H170" s="45"/>
      <c r="I170" s="156" t="str">
        <f>IFERROR(VLOOKUP($B170,Matriz_INM,3,0),"")</f>
        <v/>
      </c>
      <c r="J170" s="57"/>
      <c r="K170" s="57"/>
      <c r="L170" s="57"/>
      <c r="M170" s="44"/>
      <c r="N170" s="45" t="str">
        <f t="shared" si="12"/>
        <v/>
      </c>
      <c r="O170" s="45" t="str">
        <f t="shared" si="13"/>
        <v/>
      </c>
      <c r="P170" s="149" t="str">
        <f t="shared" si="14"/>
        <v/>
      </c>
      <c r="Q170" s="157">
        <f t="shared" si="15"/>
        <v>0</v>
      </c>
      <c r="R170" s="157">
        <f t="shared" si="16"/>
        <v>0</v>
      </c>
      <c r="S170" s="149">
        <f t="shared" si="17"/>
        <v>0</v>
      </c>
      <c r="T170" s="44"/>
    </row>
    <row r="171" spans="1:20" s="46" customFormat="1" ht="14.25" customHeight="1">
      <c r="A171" s="38"/>
      <c r="B171" s="56"/>
      <c r="C171" s="155">
        <f>IF($B171&lt;&gt;"",VLOOKUP($B171,Matriz_INM,2,0),0)</f>
        <v>0</v>
      </c>
      <c r="D171" s="44"/>
      <c r="E171" s="44"/>
      <c r="F171" s="44"/>
      <c r="G171" s="44"/>
      <c r="H171" s="45"/>
      <c r="I171" s="156" t="str">
        <f>IFERROR(VLOOKUP($B171,Matriz_INM,3,0),"")</f>
        <v/>
      </c>
      <c r="J171" s="57"/>
      <c r="K171" s="57"/>
      <c r="L171" s="57"/>
      <c r="M171" s="44"/>
      <c r="N171" s="45" t="str">
        <f t="shared" si="12"/>
        <v/>
      </c>
      <c r="O171" s="45" t="str">
        <f t="shared" si="13"/>
        <v/>
      </c>
      <c r="P171" s="149" t="str">
        <f t="shared" si="14"/>
        <v/>
      </c>
      <c r="Q171" s="157">
        <f t="shared" si="15"/>
        <v>0</v>
      </c>
      <c r="R171" s="157">
        <f t="shared" si="16"/>
        <v>0</v>
      </c>
      <c r="S171" s="149">
        <f t="shared" si="17"/>
        <v>0</v>
      </c>
      <c r="T171" s="44"/>
    </row>
    <row r="172" spans="1:20" s="46" customFormat="1" ht="14.25" customHeight="1">
      <c r="A172" s="38"/>
      <c r="B172" s="56"/>
      <c r="C172" s="155">
        <f>IF($B172&lt;&gt;"",VLOOKUP($B172,Matriz_INM,2,0),0)</f>
        <v>0</v>
      </c>
      <c r="D172" s="44"/>
      <c r="E172" s="44"/>
      <c r="F172" s="44"/>
      <c r="G172" s="44"/>
      <c r="H172" s="45"/>
      <c r="I172" s="156" t="str">
        <f>IFERROR(VLOOKUP($B172,Matriz_INM,3,0),"")</f>
        <v/>
      </c>
      <c r="J172" s="57"/>
      <c r="K172" s="57"/>
      <c r="L172" s="57"/>
      <c r="M172" s="44"/>
      <c r="N172" s="45" t="str">
        <f t="shared" si="12"/>
        <v/>
      </c>
      <c r="O172" s="45" t="str">
        <f t="shared" si="13"/>
        <v/>
      </c>
      <c r="P172" s="149" t="str">
        <f t="shared" si="14"/>
        <v/>
      </c>
      <c r="Q172" s="157">
        <f t="shared" si="15"/>
        <v>0</v>
      </c>
      <c r="R172" s="157">
        <f t="shared" si="16"/>
        <v>0</v>
      </c>
      <c r="S172" s="149">
        <f t="shared" si="17"/>
        <v>0</v>
      </c>
      <c r="T172" s="44"/>
    </row>
    <row r="173" spans="1:20" s="46" customFormat="1" ht="14.25" customHeight="1">
      <c r="A173" s="38"/>
      <c r="B173" s="56"/>
      <c r="C173" s="155">
        <f>IF($B173&lt;&gt;"",VLOOKUP($B173,Matriz_INM,2,0),0)</f>
        <v>0</v>
      </c>
      <c r="D173" s="44"/>
      <c r="E173" s="44"/>
      <c r="F173" s="44"/>
      <c r="G173" s="44"/>
      <c r="H173" s="45"/>
      <c r="I173" s="156" t="str">
        <f>IFERROR(VLOOKUP($B173,Matriz_INM,3,0),"")</f>
        <v/>
      </c>
      <c r="J173" s="57"/>
      <c r="K173" s="57"/>
      <c r="L173" s="57"/>
      <c r="M173" s="44"/>
      <c r="N173" s="45" t="str">
        <f t="shared" si="12"/>
        <v/>
      </c>
      <c r="O173" s="45" t="str">
        <f t="shared" si="13"/>
        <v/>
      </c>
      <c r="P173" s="149" t="str">
        <f t="shared" si="14"/>
        <v/>
      </c>
      <c r="Q173" s="157">
        <f t="shared" si="15"/>
        <v>0</v>
      </c>
      <c r="R173" s="157">
        <f t="shared" si="16"/>
        <v>0</v>
      </c>
      <c r="S173" s="149">
        <f t="shared" si="17"/>
        <v>0</v>
      </c>
      <c r="T173" s="44"/>
    </row>
    <row r="174" spans="1:20" s="46" customFormat="1" ht="14.25" customHeight="1">
      <c r="A174" s="38"/>
      <c r="B174" s="56"/>
      <c r="C174" s="155">
        <f>IF($B174&lt;&gt;"",VLOOKUP($B174,Matriz_INM,2,0),0)</f>
        <v>0</v>
      </c>
      <c r="D174" s="44"/>
      <c r="E174" s="44"/>
      <c r="F174" s="44"/>
      <c r="G174" s="44"/>
      <c r="H174" s="45"/>
      <c r="I174" s="156" t="str">
        <f>IFERROR(VLOOKUP($B174,Matriz_INM,3,0),"")</f>
        <v/>
      </c>
      <c r="J174" s="57"/>
      <c r="K174" s="57"/>
      <c r="L174" s="57"/>
      <c r="M174" s="44"/>
      <c r="N174" s="45" t="str">
        <f t="shared" si="12"/>
        <v/>
      </c>
      <c r="O174" s="45" t="str">
        <f t="shared" si="13"/>
        <v/>
      </c>
      <c r="P174" s="149" t="str">
        <f t="shared" si="14"/>
        <v/>
      </c>
      <c r="Q174" s="157">
        <f t="shared" si="15"/>
        <v>0</v>
      </c>
      <c r="R174" s="157">
        <f t="shared" si="16"/>
        <v>0</v>
      </c>
      <c r="S174" s="149">
        <f t="shared" si="17"/>
        <v>0</v>
      </c>
      <c r="T174" s="44"/>
    </row>
    <row r="175" spans="1:20" s="46" customFormat="1" ht="14.25" customHeight="1">
      <c r="A175" s="38"/>
      <c r="B175" s="56"/>
      <c r="C175" s="155">
        <f>IF($B175&lt;&gt;"",VLOOKUP($B175,Matriz_INM,2,0),0)</f>
        <v>0</v>
      </c>
      <c r="D175" s="44"/>
      <c r="E175" s="44"/>
      <c r="F175" s="44"/>
      <c r="G175" s="44"/>
      <c r="H175" s="45"/>
      <c r="I175" s="156" t="str">
        <f>IFERROR(VLOOKUP($B175,Matriz_INM,3,0),"")</f>
        <v/>
      </c>
      <c r="J175" s="57"/>
      <c r="K175" s="57"/>
      <c r="L175" s="57"/>
      <c r="M175" s="44"/>
      <c r="N175" s="45" t="str">
        <f t="shared" si="12"/>
        <v/>
      </c>
      <c r="O175" s="45" t="str">
        <f t="shared" si="13"/>
        <v/>
      </c>
      <c r="P175" s="149" t="str">
        <f t="shared" si="14"/>
        <v/>
      </c>
      <c r="Q175" s="157">
        <f t="shared" si="15"/>
        <v>0</v>
      </c>
      <c r="R175" s="157">
        <f t="shared" si="16"/>
        <v>0</v>
      </c>
      <c r="S175" s="149">
        <f t="shared" si="17"/>
        <v>0</v>
      </c>
      <c r="T175" s="44"/>
    </row>
    <row r="176" spans="1:20" s="46" customFormat="1" ht="14.25" customHeight="1">
      <c r="A176" s="38"/>
      <c r="B176" s="56"/>
      <c r="C176" s="155">
        <f>IF($B176&lt;&gt;"",VLOOKUP($B176,Matriz_INM,2,0),0)</f>
        <v>0</v>
      </c>
      <c r="D176" s="44"/>
      <c r="E176" s="44"/>
      <c r="F176" s="44"/>
      <c r="G176" s="44"/>
      <c r="H176" s="45"/>
      <c r="I176" s="156" t="str">
        <f>IFERROR(VLOOKUP($B176,Matriz_INM,3,0),"")</f>
        <v/>
      </c>
      <c r="J176" s="57"/>
      <c r="K176" s="57"/>
      <c r="L176" s="57"/>
      <c r="M176" s="44"/>
      <c r="N176" s="45" t="str">
        <f t="shared" si="12"/>
        <v/>
      </c>
      <c r="O176" s="45" t="str">
        <f t="shared" si="13"/>
        <v/>
      </c>
      <c r="P176" s="149" t="str">
        <f t="shared" si="14"/>
        <v/>
      </c>
      <c r="Q176" s="157">
        <f t="shared" si="15"/>
        <v>0</v>
      </c>
      <c r="R176" s="157">
        <f t="shared" si="16"/>
        <v>0</v>
      </c>
      <c r="S176" s="149">
        <f t="shared" si="17"/>
        <v>0</v>
      </c>
      <c r="T176" s="44"/>
    </row>
    <row r="177" spans="1:20" s="46" customFormat="1" ht="14.25" customHeight="1">
      <c r="A177" s="38"/>
      <c r="B177" s="56"/>
      <c r="C177" s="155">
        <f>IF($B177&lt;&gt;"",VLOOKUP($B177,Matriz_INM,2,0),0)</f>
        <v>0</v>
      </c>
      <c r="D177" s="44"/>
      <c r="E177" s="44"/>
      <c r="F177" s="44"/>
      <c r="G177" s="44"/>
      <c r="H177" s="45"/>
      <c r="I177" s="156" t="str">
        <f>IFERROR(VLOOKUP($B177,Matriz_INM,3,0),"")</f>
        <v/>
      </c>
      <c r="J177" s="57"/>
      <c r="K177" s="57"/>
      <c r="L177" s="57"/>
      <c r="M177" s="44"/>
      <c r="N177" s="45" t="str">
        <f t="shared" si="12"/>
        <v/>
      </c>
      <c r="O177" s="45" t="str">
        <f t="shared" si="13"/>
        <v/>
      </c>
      <c r="P177" s="149" t="str">
        <f t="shared" si="14"/>
        <v/>
      </c>
      <c r="Q177" s="157">
        <f t="shared" si="15"/>
        <v>0</v>
      </c>
      <c r="R177" s="157">
        <f t="shared" si="16"/>
        <v>0</v>
      </c>
      <c r="S177" s="149">
        <f t="shared" si="17"/>
        <v>0</v>
      </c>
      <c r="T177" s="44"/>
    </row>
    <row r="178" spans="1:20" s="46" customFormat="1" ht="14.25" customHeight="1">
      <c r="A178" s="38"/>
      <c r="B178" s="56"/>
      <c r="C178" s="155">
        <f>IF($B178&lt;&gt;"",VLOOKUP($B178,Matriz_INM,2,0),0)</f>
        <v>0</v>
      </c>
      <c r="D178" s="44"/>
      <c r="E178" s="44"/>
      <c r="F178" s="44"/>
      <c r="G178" s="44"/>
      <c r="H178" s="45"/>
      <c r="I178" s="156" t="str">
        <f>IFERROR(VLOOKUP($B178,Matriz_INM,3,0),"")</f>
        <v/>
      </c>
      <c r="J178" s="57"/>
      <c r="K178" s="57"/>
      <c r="L178" s="57"/>
      <c r="M178" s="44"/>
      <c r="N178" s="45" t="str">
        <f t="shared" si="12"/>
        <v/>
      </c>
      <c r="O178" s="45" t="str">
        <f t="shared" si="13"/>
        <v/>
      </c>
      <c r="P178" s="149" t="str">
        <f t="shared" si="14"/>
        <v/>
      </c>
      <c r="Q178" s="157">
        <f t="shared" si="15"/>
        <v>0</v>
      </c>
      <c r="R178" s="157">
        <f t="shared" si="16"/>
        <v>0</v>
      </c>
      <c r="S178" s="149">
        <f t="shared" si="17"/>
        <v>0</v>
      </c>
      <c r="T178" s="44"/>
    </row>
    <row r="179" spans="1:20" s="46" customFormat="1" ht="14.25" customHeight="1">
      <c r="A179" s="38"/>
      <c r="B179" s="56"/>
      <c r="C179" s="155">
        <f>IF($B179&lt;&gt;"",VLOOKUP($B179,Matriz_INM,2,0),0)</f>
        <v>0</v>
      </c>
      <c r="D179" s="44"/>
      <c r="E179" s="44"/>
      <c r="F179" s="44"/>
      <c r="G179" s="44"/>
      <c r="H179" s="45"/>
      <c r="I179" s="156" t="str">
        <f>IFERROR(VLOOKUP($B179,Matriz_INM,3,0),"")</f>
        <v/>
      </c>
      <c r="J179" s="57"/>
      <c r="K179" s="57"/>
      <c r="L179" s="57"/>
      <c r="M179" s="44"/>
      <c r="N179" s="45" t="str">
        <f t="shared" si="12"/>
        <v/>
      </c>
      <c r="O179" s="45" t="str">
        <f t="shared" si="13"/>
        <v/>
      </c>
      <c r="P179" s="149" t="str">
        <f t="shared" si="14"/>
        <v/>
      </c>
      <c r="Q179" s="157">
        <f t="shared" si="15"/>
        <v>0</v>
      </c>
      <c r="R179" s="157">
        <f t="shared" si="16"/>
        <v>0</v>
      </c>
      <c r="S179" s="149">
        <f t="shared" si="17"/>
        <v>0</v>
      </c>
      <c r="T179" s="44"/>
    </row>
    <row r="180" spans="1:20" s="46" customFormat="1" ht="14.25" customHeight="1">
      <c r="A180" s="38"/>
      <c r="B180" s="56"/>
      <c r="C180" s="155">
        <f>IF($B180&lt;&gt;"",VLOOKUP($B180,Matriz_INM,2,0),0)</f>
        <v>0</v>
      </c>
      <c r="D180" s="44"/>
      <c r="E180" s="44"/>
      <c r="F180" s="44"/>
      <c r="G180" s="44"/>
      <c r="H180" s="45"/>
      <c r="I180" s="156" t="str">
        <f>IFERROR(VLOOKUP($B180,Matriz_INM,3,0),"")</f>
        <v/>
      </c>
      <c r="J180" s="57"/>
      <c r="K180" s="57"/>
      <c r="L180" s="57"/>
      <c r="M180" s="44"/>
      <c r="N180" s="45" t="str">
        <f t="shared" si="12"/>
        <v/>
      </c>
      <c r="O180" s="45" t="str">
        <f t="shared" si="13"/>
        <v/>
      </c>
      <c r="P180" s="149" t="str">
        <f t="shared" si="14"/>
        <v/>
      </c>
      <c r="Q180" s="157">
        <f t="shared" si="15"/>
        <v>0</v>
      </c>
      <c r="R180" s="157">
        <f t="shared" si="16"/>
        <v>0</v>
      </c>
      <c r="S180" s="149">
        <f t="shared" si="17"/>
        <v>0</v>
      </c>
      <c r="T180" s="44"/>
    </row>
    <row r="181" spans="1:20" s="46" customFormat="1" ht="14.25" customHeight="1">
      <c r="A181" s="38"/>
      <c r="B181" s="56"/>
      <c r="C181" s="155">
        <f>IF($B181&lt;&gt;"",VLOOKUP($B181,Matriz_INM,2,0),0)</f>
        <v>0</v>
      </c>
      <c r="D181" s="44"/>
      <c r="E181" s="44"/>
      <c r="F181" s="44"/>
      <c r="G181" s="44"/>
      <c r="H181" s="45"/>
      <c r="I181" s="156" t="str">
        <f>IFERROR(VLOOKUP($B181,Matriz_INM,3,0),"")</f>
        <v/>
      </c>
      <c r="J181" s="57"/>
      <c r="K181" s="57"/>
      <c r="L181" s="57"/>
      <c r="M181" s="44"/>
      <c r="N181" s="45" t="str">
        <f t="shared" si="12"/>
        <v/>
      </c>
      <c r="O181" s="45" t="str">
        <f t="shared" si="13"/>
        <v/>
      </c>
      <c r="P181" s="149" t="str">
        <f t="shared" si="14"/>
        <v/>
      </c>
      <c r="Q181" s="157">
        <f t="shared" si="15"/>
        <v>0</v>
      </c>
      <c r="R181" s="157">
        <f t="shared" si="16"/>
        <v>0</v>
      </c>
      <c r="S181" s="149">
        <f t="shared" si="17"/>
        <v>0</v>
      </c>
      <c r="T181" s="44"/>
    </row>
    <row r="182" spans="1:20" s="46" customFormat="1" ht="14.25" customHeight="1">
      <c r="A182" s="38"/>
      <c r="B182" s="56"/>
      <c r="C182" s="155">
        <f>IF($B182&lt;&gt;"",VLOOKUP($B182,Matriz_INM,2,0),0)</f>
        <v>0</v>
      </c>
      <c r="D182" s="44"/>
      <c r="E182" s="44"/>
      <c r="F182" s="44"/>
      <c r="G182" s="44"/>
      <c r="H182" s="45"/>
      <c r="I182" s="156" t="str">
        <f>IFERROR(VLOOKUP($B182,Matriz_INM,3,0),"")</f>
        <v/>
      </c>
      <c r="J182" s="57"/>
      <c r="K182" s="57"/>
      <c r="L182" s="57"/>
      <c r="M182" s="44"/>
      <c r="N182" s="45" t="str">
        <f t="shared" si="12"/>
        <v/>
      </c>
      <c r="O182" s="45" t="str">
        <f t="shared" si="13"/>
        <v/>
      </c>
      <c r="P182" s="149" t="str">
        <f t="shared" si="14"/>
        <v/>
      </c>
      <c r="Q182" s="157">
        <f t="shared" si="15"/>
        <v>0</v>
      </c>
      <c r="R182" s="157">
        <f t="shared" si="16"/>
        <v>0</v>
      </c>
      <c r="S182" s="149">
        <f t="shared" si="17"/>
        <v>0</v>
      </c>
      <c r="T182" s="44"/>
    </row>
    <row r="183" spans="1:20" s="46" customFormat="1" ht="14.25" customHeight="1">
      <c r="A183" s="38"/>
      <c r="B183" s="56"/>
      <c r="C183" s="155">
        <f>IF($B183&lt;&gt;"",VLOOKUP($B183,Matriz_INM,2,0),0)</f>
        <v>0</v>
      </c>
      <c r="D183" s="44"/>
      <c r="E183" s="44"/>
      <c r="F183" s="44"/>
      <c r="G183" s="44"/>
      <c r="H183" s="45"/>
      <c r="I183" s="156" t="str">
        <f>IFERROR(VLOOKUP($B183,Matriz_INM,3,0),"")</f>
        <v/>
      </c>
      <c r="J183" s="57"/>
      <c r="K183" s="57"/>
      <c r="L183" s="57"/>
      <c r="M183" s="44"/>
      <c r="N183" s="45" t="str">
        <f t="shared" si="12"/>
        <v/>
      </c>
      <c r="O183" s="45" t="str">
        <f t="shared" si="13"/>
        <v/>
      </c>
      <c r="P183" s="149" t="str">
        <f t="shared" si="14"/>
        <v/>
      </c>
      <c r="Q183" s="157">
        <f t="shared" si="15"/>
        <v>0</v>
      </c>
      <c r="R183" s="157">
        <f t="shared" si="16"/>
        <v>0</v>
      </c>
      <c r="S183" s="149">
        <f t="shared" si="17"/>
        <v>0</v>
      </c>
      <c r="T183" s="44"/>
    </row>
    <row r="184" spans="1:20" s="46" customFormat="1" ht="14.25" customHeight="1">
      <c r="A184" s="38"/>
      <c r="B184" s="56"/>
      <c r="C184" s="155">
        <f>IF($B184&lt;&gt;"",VLOOKUP($B184,Matriz_INM,2,0),0)</f>
        <v>0</v>
      </c>
      <c r="D184" s="44"/>
      <c r="E184" s="44"/>
      <c r="F184" s="44"/>
      <c r="G184" s="44"/>
      <c r="H184" s="45"/>
      <c r="I184" s="156" t="str">
        <f>IFERROR(VLOOKUP($B184,Matriz_INM,3,0),"")</f>
        <v/>
      </c>
      <c r="J184" s="57"/>
      <c r="K184" s="57"/>
      <c r="L184" s="57"/>
      <c r="M184" s="44"/>
      <c r="N184" s="45" t="str">
        <f t="shared" si="12"/>
        <v/>
      </c>
      <c r="O184" s="45" t="str">
        <f t="shared" si="13"/>
        <v/>
      </c>
      <c r="P184" s="149" t="str">
        <f t="shared" si="14"/>
        <v/>
      </c>
      <c r="Q184" s="157">
        <f t="shared" si="15"/>
        <v>0</v>
      </c>
      <c r="R184" s="157">
        <f t="shared" si="16"/>
        <v>0</v>
      </c>
      <c r="S184" s="149">
        <f t="shared" si="17"/>
        <v>0</v>
      </c>
      <c r="T184" s="44"/>
    </row>
    <row r="185" spans="1:20" s="46" customFormat="1" ht="14.25" customHeight="1">
      <c r="A185" s="38"/>
      <c r="B185" s="56"/>
      <c r="C185" s="155">
        <f>IF($B185&lt;&gt;"",VLOOKUP($B185,Matriz_INM,2,0),0)</f>
        <v>0</v>
      </c>
      <c r="D185" s="44"/>
      <c r="E185" s="44"/>
      <c r="F185" s="44"/>
      <c r="G185" s="44"/>
      <c r="H185" s="45"/>
      <c r="I185" s="156" t="str">
        <f>IFERROR(VLOOKUP($B185,Matriz_INM,3,0),"")</f>
        <v/>
      </c>
      <c r="J185" s="57"/>
      <c r="K185" s="57"/>
      <c r="L185" s="57"/>
      <c r="M185" s="44"/>
      <c r="N185" s="45" t="str">
        <f t="shared" si="12"/>
        <v/>
      </c>
      <c r="O185" s="45" t="str">
        <f t="shared" si="13"/>
        <v/>
      </c>
      <c r="P185" s="149" t="str">
        <f t="shared" si="14"/>
        <v/>
      </c>
      <c r="Q185" s="157">
        <f t="shared" si="15"/>
        <v>0</v>
      </c>
      <c r="R185" s="157">
        <f t="shared" si="16"/>
        <v>0</v>
      </c>
      <c r="S185" s="149">
        <f t="shared" si="17"/>
        <v>0</v>
      </c>
      <c r="T185" s="44"/>
    </row>
    <row r="186" spans="1:20" s="46" customFormat="1" ht="14.25" customHeight="1">
      <c r="A186" s="38"/>
      <c r="B186" s="56"/>
      <c r="C186" s="155">
        <f>IF($B186&lt;&gt;"",VLOOKUP($B186,Matriz_INM,2,0),0)</f>
        <v>0</v>
      </c>
      <c r="D186" s="44"/>
      <c r="E186" s="44"/>
      <c r="F186" s="44"/>
      <c r="G186" s="44"/>
      <c r="H186" s="45"/>
      <c r="I186" s="156" t="str">
        <f>IFERROR(VLOOKUP($B186,Matriz_INM,3,0),"")</f>
        <v/>
      </c>
      <c r="J186" s="57"/>
      <c r="K186" s="57"/>
      <c r="L186" s="57"/>
      <c r="M186" s="44"/>
      <c r="N186" s="45" t="str">
        <f t="shared" si="12"/>
        <v/>
      </c>
      <c r="O186" s="45" t="str">
        <f t="shared" si="13"/>
        <v/>
      </c>
      <c r="P186" s="149" t="str">
        <f t="shared" si="14"/>
        <v/>
      </c>
      <c r="Q186" s="157">
        <f t="shared" si="15"/>
        <v>0</v>
      </c>
      <c r="R186" s="157">
        <f t="shared" si="16"/>
        <v>0</v>
      </c>
      <c r="S186" s="149">
        <f t="shared" si="17"/>
        <v>0</v>
      </c>
      <c r="T186" s="44"/>
    </row>
    <row r="187" spans="1:20" s="46" customFormat="1" ht="14.25" customHeight="1">
      <c r="A187" s="38"/>
      <c r="B187" s="56"/>
      <c r="C187" s="155">
        <f>IF($B187&lt;&gt;"",VLOOKUP($B187,Matriz_INM,2,0),0)</f>
        <v>0</v>
      </c>
      <c r="D187" s="44"/>
      <c r="E187" s="44"/>
      <c r="F187" s="44"/>
      <c r="G187" s="44"/>
      <c r="H187" s="45"/>
      <c r="I187" s="156" t="str">
        <f>IFERROR(VLOOKUP($B187,Matriz_INM,3,0),"")</f>
        <v/>
      </c>
      <c r="J187" s="57"/>
      <c r="K187" s="57"/>
      <c r="L187" s="57"/>
      <c r="M187" s="44"/>
      <c r="N187" s="45" t="str">
        <f t="shared" si="12"/>
        <v/>
      </c>
      <c r="O187" s="45" t="str">
        <f t="shared" si="13"/>
        <v/>
      </c>
      <c r="P187" s="149" t="str">
        <f t="shared" si="14"/>
        <v/>
      </c>
      <c r="Q187" s="157">
        <f t="shared" si="15"/>
        <v>0</v>
      </c>
      <c r="R187" s="157">
        <f t="shared" si="16"/>
        <v>0</v>
      </c>
      <c r="S187" s="149">
        <f t="shared" si="17"/>
        <v>0</v>
      </c>
      <c r="T187" s="44"/>
    </row>
    <row r="188" spans="1:20" s="46" customFormat="1" ht="14.25" customHeight="1">
      <c r="A188" s="38"/>
      <c r="B188" s="56"/>
      <c r="C188" s="155">
        <f>IF($B188&lt;&gt;"",VLOOKUP($B188,Matriz_INM,2,0),0)</f>
        <v>0</v>
      </c>
      <c r="D188" s="44"/>
      <c r="E188" s="44"/>
      <c r="F188" s="44"/>
      <c r="G188" s="44"/>
      <c r="H188" s="45"/>
      <c r="I188" s="156" t="str">
        <f>IFERROR(VLOOKUP($B188,Matriz_INM,3,0),"")</f>
        <v/>
      </c>
      <c r="J188" s="57"/>
      <c r="K188" s="57"/>
      <c r="L188" s="57"/>
      <c r="M188" s="44"/>
      <c r="N188" s="45" t="str">
        <f t="shared" si="12"/>
        <v/>
      </c>
      <c r="O188" s="45" t="str">
        <f t="shared" si="13"/>
        <v/>
      </c>
      <c r="P188" s="149" t="str">
        <f t="shared" si="14"/>
        <v/>
      </c>
      <c r="Q188" s="157">
        <f t="shared" si="15"/>
        <v>0</v>
      </c>
      <c r="R188" s="157">
        <f t="shared" si="16"/>
        <v>0</v>
      </c>
      <c r="S188" s="149">
        <f t="shared" si="17"/>
        <v>0</v>
      </c>
      <c r="T188" s="44"/>
    </row>
    <row r="189" spans="1:20" s="46" customFormat="1" ht="14.25" customHeight="1">
      <c r="A189" s="38"/>
      <c r="B189" s="56"/>
      <c r="C189" s="155">
        <f>IF($B189&lt;&gt;"",VLOOKUP($B189,Matriz_INM,2,0),0)</f>
        <v>0</v>
      </c>
      <c r="D189" s="44"/>
      <c r="E189" s="44"/>
      <c r="F189" s="44"/>
      <c r="G189" s="44"/>
      <c r="H189" s="45"/>
      <c r="I189" s="156" t="str">
        <f>IFERROR(VLOOKUP($B189,Matriz_INM,3,0),"")</f>
        <v/>
      </c>
      <c r="J189" s="57"/>
      <c r="K189" s="57"/>
      <c r="L189" s="57"/>
      <c r="M189" s="44"/>
      <c r="N189" s="45" t="str">
        <f t="shared" si="12"/>
        <v/>
      </c>
      <c r="O189" s="45" t="str">
        <f t="shared" si="13"/>
        <v/>
      </c>
      <c r="P189" s="149" t="str">
        <f t="shared" si="14"/>
        <v/>
      </c>
      <c r="Q189" s="157">
        <f t="shared" si="15"/>
        <v>0</v>
      </c>
      <c r="R189" s="157">
        <f t="shared" si="16"/>
        <v>0</v>
      </c>
      <c r="S189" s="149">
        <f t="shared" si="17"/>
        <v>0</v>
      </c>
      <c r="T189" s="44"/>
    </row>
    <row r="190" spans="1:20" s="46" customFormat="1" ht="14.25" customHeight="1">
      <c r="A190" s="38"/>
      <c r="B190" s="56"/>
      <c r="C190" s="155">
        <f>IF($B190&lt;&gt;"",VLOOKUP($B190,Matriz_INM,2,0),0)</f>
        <v>0</v>
      </c>
      <c r="D190" s="44"/>
      <c r="E190" s="44"/>
      <c r="F190" s="44"/>
      <c r="G190" s="44"/>
      <c r="H190" s="45"/>
      <c r="I190" s="156" t="str">
        <f>IFERROR(VLOOKUP($B190,Matriz_INM,3,0),"")</f>
        <v/>
      </c>
      <c r="J190" s="57"/>
      <c r="K190" s="57"/>
      <c r="L190" s="57"/>
      <c r="M190" s="44"/>
      <c r="N190" s="45" t="str">
        <f t="shared" si="12"/>
        <v/>
      </c>
      <c r="O190" s="45" t="str">
        <f t="shared" si="13"/>
        <v/>
      </c>
      <c r="P190" s="149" t="str">
        <f t="shared" si="14"/>
        <v/>
      </c>
      <c r="Q190" s="157">
        <f t="shared" si="15"/>
        <v>0</v>
      </c>
      <c r="R190" s="157">
        <f t="shared" si="16"/>
        <v>0</v>
      </c>
      <c r="S190" s="149">
        <f t="shared" si="17"/>
        <v>0</v>
      </c>
      <c r="T190" s="44"/>
    </row>
    <row r="191" spans="1:20" s="46" customFormat="1" ht="14.25" customHeight="1">
      <c r="A191" s="38"/>
      <c r="B191" s="56"/>
      <c r="C191" s="155">
        <f>IF($B191&lt;&gt;"",VLOOKUP($B191,Matriz_INM,2,0),0)</f>
        <v>0</v>
      </c>
      <c r="D191" s="44"/>
      <c r="E191" s="44"/>
      <c r="F191" s="44"/>
      <c r="G191" s="44"/>
      <c r="H191" s="45"/>
      <c r="I191" s="156" t="str">
        <f>IFERROR(VLOOKUP($B191,Matriz_INM,3,0),"")</f>
        <v/>
      </c>
      <c r="J191" s="57"/>
      <c r="K191" s="57"/>
      <c r="L191" s="57"/>
      <c r="M191" s="44"/>
      <c r="N191" s="45" t="str">
        <f t="shared" si="12"/>
        <v/>
      </c>
      <c r="O191" s="45" t="str">
        <f t="shared" si="13"/>
        <v/>
      </c>
      <c r="P191" s="149" t="str">
        <f t="shared" si="14"/>
        <v/>
      </c>
      <c r="Q191" s="157">
        <f t="shared" si="15"/>
        <v>0</v>
      </c>
      <c r="R191" s="157">
        <f t="shared" si="16"/>
        <v>0</v>
      </c>
      <c r="S191" s="149">
        <f t="shared" si="17"/>
        <v>0</v>
      </c>
      <c r="T191" s="44"/>
    </row>
    <row r="192" spans="1:20" s="46" customFormat="1" ht="14.25" customHeight="1">
      <c r="A192" s="38"/>
      <c r="B192" s="56"/>
      <c r="C192" s="155">
        <f>IF($B192&lt;&gt;"",VLOOKUP($B192,Matriz_INM,2,0),0)</f>
        <v>0</v>
      </c>
      <c r="D192" s="44"/>
      <c r="E192" s="44"/>
      <c r="F192" s="44"/>
      <c r="G192" s="44"/>
      <c r="H192" s="45"/>
      <c r="I192" s="156" t="str">
        <f>IFERROR(VLOOKUP($B192,Matriz_INM,3,0),"")</f>
        <v/>
      </c>
      <c r="J192" s="57"/>
      <c r="K192" s="57"/>
      <c r="L192" s="57"/>
      <c r="M192" s="44"/>
      <c r="N192" s="45" t="str">
        <f t="shared" si="12"/>
        <v/>
      </c>
      <c r="O192" s="45" t="str">
        <f t="shared" si="13"/>
        <v/>
      </c>
      <c r="P192" s="149" t="str">
        <f t="shared" si="14"/>
        <v/>
      </c>
      <c r="Q192" s="157">
        <f t="shared" si="15"/>
        <v>0</v>
      </c>
      <c r="R192" s="157">
        <f t="shared" si="16"/>
        <v>0</v>
      </c>
      <c r="S192" s="149">
        <f t="shared" si="17"/>
        <v>0</v>
      </c>
      <c r="T192" s="44"/>
    </row>
    <row r="193" spans="1:20" s="46" customFormat="1" ht="14.25" customHeight="1">
      <c r="A193" s="38"/>
      <c r="B193" s="56"/>
      <c r="C193" s="155">
        <f>IF($B193&lt;&gt;"",VLOOKUP($B193,Matriz_INM,2,0),0)</f>
        <v>0</v>
      </c>
      <c r="D193" s="44"/>
      <c r="E193" s="44"/>
      <c r="F193" s="44"/>
      <c r="G193" s="44"/>
      <c r="H193" s="45"/>
      <c r="I193" s="156" t="str">
        <f>IFERROR(VLOOKUP($B193,Matriz_INM,3,0),"")</f>
        <v/>
      </c>
      <c r="J193" s="57"/>
      <c r="K193" s="57"/>
      <c r="L193" s="57"/>
      <c r="M193" s="44"/>
      <c r="N193" s="45" t="str">
        <f t="shared" si="12"/>
        <v/>
      </c>
      <c r="O193" s="45" t="str">
        <f t="shared" si="13"/>
        <v/>
      </c>
      <c r="P193" s="149" t="str">
        <f t="shared" si="14"/>
        <v/>
      </c>
      <c r="Q193" s="157">
        <f t="shared" si="15"/>
        <v>0</v>
      </c>
      <c r="R193" s="157">
        <f t="shared" si="16"/>
        <v>0</v>
      </c>
      <c r="S193" s="149">
        <f t="shared" si="17"/>
        <v>0</v>
      </c>
      <c r="T193" s="44"/>
    </row>
    <row r="194" spans="1:20" s="46" customFormat="1" ht="14.25" customHeight="1">
      <c r="A194" s="38"/>
      <c r="B194" s="56"/>
      <c r="C194" s="155">
        <f>IF($B194&lt;&gt;"",VLOOKUP($B194,Matriz_INM,2,0),0)</f>
        <v>0</v>
      </c>
      <c r="D194" s="44"/>
      <c r="E194" s="44"/>
      <c r="F194" s="44"/>
      <c r="G194" s="44"/>
      <c r="H194" s="45"/>
      <c r="I194" s="156" t="str">
        <f>IFERROR(VLOOKUP($B194,Matriz_INM,3,0),"")</f>
        <v/>
      </c>
      <c r="J194" s="57"/>
      <c r="K194" s="57"/>
      <c r="L194" s="57"/>
      <c r="M194" s="44"/>
      <c r="N194" s="45" t="str">
        <f t="shared" si="12"/>
        <v/>
      </c>
      <c r="O194" s="45" t="str">
        <f t="shared" si="13"/>
        <v/>
      </c>
      <c r="P194" s="149" t="str">
        <f t="shared" si="14"/>
        <v/>
      </c>
      <c r="Q194" s="157">
        <f t="shared" si="15"/>
        <v>0</v>
      </c>
      <c r="R194" s="157">
        <f t="shared" si="16"/>
        <v>0</v>
      </c>
      <c r="S194" s="149">
        <f t="shared" si="17"/>
        <v>0</v>
      </c>
      <c r="T194" s="44"/>
    </row>
    <row r="195" spans="1:20" s="46" customFormat="1" ht="14.25" customHeight="1">
      <c r="A195" s="38"/>
      <c r="B195" s="56"/>
      <c r="C195" s="155">
        <f>IF($B195&lt;&gt;"",VLOOKUP($B195,Matriz_INM,2,0),0)</f>
        <v>0</v>
      </c>
      <c r="D195" s="44"/>
      <c r="E195" s="44"/>
      <c r="F195" s="44"/>
      <c r="G195" s="44"/>
      <c r="H195" s="45"/>
      <c r="I195" s="156" t="str">
        <f>IFERROR(VLOOKUP($B195,Matriz_INM,3,0),"")</f>
        <v/>
      </c>
      <c r="J195" s="57"/>
      <c r="K195" s="57"/>
      <c r="L195" s="57"/>
      <c r="M195" s="44"/>
      <c r="N195" s="45" t="str">
        <f t="shared" si="12"/>
        <v/>
      </c>
      <c r="O195" s="45" t="str">
        <f t="shared" si="13"/>
        <v/>
      </c>
      <c r="P195" s="149" t="str">
        <f t="shared" si="14"/>
        <v/>
      </c>
      <c r="Q195" s="157">
        <f t="shared" si="15"/>
        <v>0</v>
      </c>
      <c r="R195" s="157">
        <f t="shared" si="16"/>
        <v>0</v>
      </c>
      <c r="S195" s="149">
        <f t="shared" si="17"/>
        <v>0</v>
      </c>
      <c r="T195" s="44"/>
    </row>
    <row r="196" spans="1:20" s="46" customFormat="1" ht="14.25" customHeight="1">
      <c r="A196" s="38"/>
      <c r="B196" s="56"/>
      <c r="C196" s="155">
        <f>IF($B196&lt;&gt;"",VLOOKUP($B196,Matriz_INM,2,0),0)</f>
        <v>0</v>
      </c>
      <c r="D196" s="44"/>
      <c r="E196" s="44"/>
      <c r="F196" s="44"/>
      <c r="G196" s="44"/>
      <c r="H196" s="45"/>
      <c r="I196" s="156" t="str">
        <f>IFERROR(VLOOKUP($B196,Matriz_INM,3,0),"")</f>
        <v/>
      </c>
      <c r="J196" s="57"/>
      <c r="K196" s="57"/>
      <c r="L196" s="57"/>
      <c r="M196" s="44"/>
      <c r="N196" s="45" t="str">
        <f t="shared" si="12"/>
        <v/>
      </c>
      <c r="O196" s="45" t="str">
        <f t="shared" si="13"/>
        <v/>
      </c>
      <c r="P196" s="149" t="str">
        <f t="shared" si="14"/>
        <v/>
      </c>
      <c r="Q196" s="157">
        <f t="shared" si="15"/>
        <v>0</v>
      </c>
      <c r="R196" s="157">
        <f t="shared" si="16"/>
        <v>0</v>
      </c>
      <c r="S196" s="149">
        <f t="shared" si="17"/>
        <v>0</v>
      </c>
      <c r="T196" s="44"/>
    </row>
    <row r="197" spans="1:20" s="46" customFormat="1" ht="14.25" customHeight="1">
      <c r="A197" s="38"/>
      <c r="B197" s="56"/>
      <c r="C197" s="155">
        <f>IF($B197&lt;&gt;"",VLOOKUP($B197,Matriz_INM,2,0),0)</f>
        <v>0</v>
      </c>
      <c r="D197" s="44"/>
      <c r="E197" s="44"/>
      <c r="F197" s="44"/>
      <c r="G197" s="44"/>
      <c r="H197" s="45"/>
      <c r="I197" s="156" t="str">
        <f>IFERROR(VLOOKUP($B197,Matriz_INM,3,0),"")</f>
        <v/>
      </c>
      <c r="J197" s="57"/>
      <c r="K197" s="57"/>
      <c r="L197" s="57"/>
      <c r="M197" s="44"/>
      <c r="N197" s="45" t="str">
        <f t="shared" si="12"/>
        <v/>
      </c>
      <c r="O197" s="45" t="str">
        <f t="shared" si="13"/>
        <v/>
      </c>
      <c r="P197" s="149" t="str">
        <f t="shared" si="14"/>
        <v/>
      </c>
      <c r="Q197" s="157">
        <f t="shared" si="15"/>
        <v>0</v>
      </c>
      <c r="R197" s="157">
        <f t="shared" si="16"/>
        <v>0</v>
      </c>
      <c r="S197" s="149">
        <f t="shared" si="17"/>
        <v>0</v>
      </c>
      <c r="T197" s="44"/>
    </row>
    <row r="198" spans="1:20" s="46" customFormat="1" ht="14.25" customHeight="1">
      <c r="A198" s="38"/>
      <c r="B198" s="56"/>
      <c r="C198" s="155">
        <f>IF($B198&lt;&gt;"",VLOOKUP($B198,Matriz_INM,2,0),0)</f>
        <v>0</v>
      </c>
      <c r="D198" s="44"/>
      <c r="E198" s="44"/>
      <c r="F198" s="44"/>
      <c r="G198" s="44"/>
      <c r="H198" s="45"/>
      <c r="I198" s="156" t="str">
        <f>IFERROR(VLOOKUP($B198,Matriz_INM,3,0),"")</f>
        <v/>
      </c>
      <c r="J198" s="57"/>
      <c r="K198" s="57"/>
      <c r="L198" s="57"/>
      <c r="M198" s="44"/>
      <c r="N198" s="45" t="str">
        <f t="shared" si="12"/>
        <v/>
      </c>
      <c r="O198" s="45" t="str">
        <f t="shared" si="13"/>
        <v/>
      </c>
      <c r="P198" s="149" t="str">
        <f t="shared" si="14"/>
        <v/>
      </c>
      <c r="Q198" s="157">
        <f t="shared" si="15"/>
        <v>0</v>
      </c>
      <c r="R198" s="157">
        <f t="shared" si="16"/>
        <v>0</v>
      </c>
      <c r="S198" s="149">
        <f t="shared" si="17"/>
        <v>0</v>
      </c>
      <c r="T198" s="44"/>
    </row>
    <row r="199" spans="1:20" s="46" customFormat="1" ht="14.25" customHeight="1">
      <c r="A199" s="38"/>
      <c r="B199" s="56"/>
      <c r="C199" s="155">
        <f>IF($B199&lt;&gt;"",VLOOKUP($B199,Matriz_INM,2,0),0)</f>
        <v>0</v>
      </c>
      <c r="D199" s="44"/>
      <c r="E199" s="44"/>
      <c r="F199" s="44"/>
      <c r="G199" s="44"/>
      <c r="H199" s="45"/>
      <c r="I199" s="156" t="str">
        <f>IFERROR(VLOOKUP($B199,Matriz_INM,3,0),"")</f>
        <v/>
      </c>
      <c r="J199" s="57"/>
      <c r="K199" s="57"/>
      <c r="L199" s="57"/>
      <c r="M199" s="44"/>
      <c r="N199" s="45" t="str">
        <f t="shared" si="12"/>
        <v/>
      </c>
      <c r="O199" s="45" t="str">
        <f t="shared" si="13"/>
        <v/>
      </c>
      <c r="P199" s="149" t="str">
        <f t="shared" si="14"/>
        <v/>
      </c>
      <c r="Q199" s="157">
        <f t="shared" si="15"/>
        <v>0</v>
      </c>
      <c r="R199" s="157">
        <f t="shared" si="16"/>
        <v>0</v>
      </c>
      <c r="S199" s="149">
        <f t="shared" si="17"/>
        <v>0</v>
      </c>
      <c r="T199" s="44"/>
    </row>
    <row r="200" spans="1:20" s="46" customFormat="1" ht="14.25" customHeight="1">
      <c r="A200" s="38"/>
      <c r="B200" s="56"/>
      <c r="C200" s="155">
        <f>IF($B200&lt;&gt;"",VLOOKUP($B200,Matriz_INM,2,0),0)</f>
        <v>0</v>
      </c>
      <c r="D200" s="44"/>
      <c r="E200" s="44"/>
      <c r="F200" s="44"/>
      <c r="G200" s="44"/>
      <c r="H200" s="45"/>
      <c r="I200" s="156" t="str">
        <f>IFERROR(VLOOKUP($B200,Matriz_INM,3,0),"")</f>
        <v/>
      </c>
      <c r="J200" s="57"/>
      <c r="K200" s="57"/>
      <c r="L200" s="57"/>
      <c r="M200" s="44"/>
      <c r="N200" s="45" t="str">
        <f t="shared" si="12"/>
        <v/>
      </c>
      <c r="O200" s="45" t="str">
        <f t="shared" si="13"/>
        <v/>
      </c>
      <c r="P200" s="149" t="str">
        <f t="shared" si="14"/>
        <v/>
      </c>
      <c r="Q200" s="157">
        <f t="shared" si="15"/>
        <v>0</v>
      </c>
      <c r="R200" s="157">
        <f t="shared" si="16"/>
        <v>0</v>
      </c>
      <c r="S200" s="149">
        <f t="shared" si="17"/>
        <v>0</v>
      </c>
      <c r="T200" s="44"/>
    </row>
    <row r="201" spans="1:20" s="46" customFormat="1" ht="14.25" customHeight="1">
      <c r="A201" s="38"/>
      <c r="B201" s="56"/>
      <c r="C201" s="155">
        <f>IF($B201&lt;&gt;"",VLOOKUP($B201,Matriz_INM,2,0),0)</f>
        <v>0</v>
      </c>
      <c r="D201" s="44"/>
      <c r="E201" s="44"/>
      <c r="F201" s="44"/>
      <c r="G201" s="44"/>
      <c r="H201" s="45"/>
      <c r="I201" s="156" t="str">
        <f>IFERROR(VLOOKUP($B201,Matriz_INM,3,0),"")</f>
        <v/>
      </c>
      <c r="J201" s="57"/>
      <c r="K201" s="57"/>
      <c r="L201" s="57"/>
      <c r="M201" s="44"/>
      <c r="N201" s="45" t="str">
        <f t="shared" si="12"/>
        <v/>
      </c>
      <c r="O201" s="45" t="str">
        <f t="shared" si="13"/>
        <v/>
      </c>
      <c r="P201" s="149" t="str">
        <f t="shared" si="14"/>
        <v/>
      </c>
      <c r="Q201" s="157">
        <f t="shared" si="15"/>
        <v>0</v>
      </c>
      <c r="R201" s="157">
        <f t="shared" si="16"/>
        <v>0</v>
      </c>
      <c r="S201" s="149">
        <f t="shared" si="17"/>
        <v>0</v>
      </c>
      <c r="T201" s="44"/>
    </row>
    <row r="202" spans="1:20" s="46" customFormat="1" ht="14.25" customHeight="1">
      <c r="A202" s="38"/>
      <c r="B202" s="56"/>
      <c r="C202" s="155">
        <f>IF($B202&lt;&gt;"",VLOOKUP($B202,Matriz_INM,2,0),0)</f>
        <v>0</v>
      </c>
      <c r="D202" s="44"/>
      <c r="E202" s="44"/>
      <c r="F202" s="44"/>
      <c r="G202" s="44"/>
      <c r="H202" s="45"/>
      <c r="I202" s="156" t="str">
        <f>IFERROR(VLOOKUP($B202,Matriz_INM,3,0),"")</f>
        <v/>
      </c>
      <c r="J202" s="57"/>
      <c r="K202" s="57"/>
      <c r="L202" s="57"/>
      <c r="M202" s="44"/>
      <c r="N202" s="45" t="str">
        <f t="shared" si="12"/>
        <v/>
      </c>
      <c r="O202" s="45" t="str">
        <f t="shared" si="13"/>
        <v/>
      </c>
      <c r="P202" s="149" t="str">
        <f t="shared" si="14"/>
        <v/>
      </c>
      <c r="Q202" s="157">
        <f t="shared" si="15"/>
        <v>0</v>
      </c>
      <c r="R202" s="157">
        <f t="shared" si="16"/>
        <v>0</v>
      </c>
      <c r="S202" s="149">
        <f t="shared" si="17"/>
        <v>0</v>
      </c>
      <c r="T202" s="44"/>
    </row>
    <row r="203" spans="1:20" s="46" customFormat="1" ht="14.25" customHeight="1">
      <c r="A203" s="38"/>
      <c r="B203" s="56"/>
      <c r="C203" s="155">
        <f>IF($B203&lt;&gt;"",VLOOKUP($B203,Matriz_INM,2,0),0)</f>
        <v>0</v>
      </c>
      <c r="D203" s="44"/>
      <c r="E203" s="44"/>
      <c r="F203" s="44"/>
      <c r="G203" s="44"/>
      <c r="H203" s="45"/>
      <c r="I203" s="156" t="str">
        <f>IFERROR(VLOOKUP($B203,Matriz_INM,3,0),"")</f>
        <v/>
      </c>
      <c r="J203" s="57"/>
      <c r="K203" s="57"/>
      <c r="L203" s="57"/>
      <c r="M203" s="44"/>
      <c r="N203" s="45" t="str">
        <f t="shared" ref="N203:N266" si="18">IF(M203="EE",IF(OR(AND(OR(L203=1,L203=0),K203&gt;0,K203&lt;5),AND(OR(L203=1,L203=0),K203&gt;4,K203&lt;16),AND(L203=2,K203&gt;0,K203&lt;5)),"Simples",IF(OR(AND(OR(L203=1,L203=0),K203&gt;15),AND(L203=2,K203&gt;4,K203&lt;16),AND(L203&gt;2,K203&gt;0,K203&lt;5)),"Médio",IF(OR(AND(L203=2,K203&gt;15),AND(L203&gt;2,K203&gt;4,K203&lt;16),AND(L203&gt;2,K203&gt;15)),"Complexo",""))),
IF(OR(M203="CE",M203="SE"),IF(OR(AND(OR(L203=1,L203=0),K203&gt;0,K203&lt;6),AND(OR(L203=1,L203=0),K203&gt;5,K203&lt;20),AND(L203&gt;1,L203&lt;4,K203&gt;0,K203&lt;6)),"Simples",IF(OR(AND(OR(L203=1,L203=0),K203&gt;19),AND(L203&gt;1,L203&lt;4,K203&gt;5,K203&lt;20),AND(L203&gt;3,K203&gt;0,K203&lt;6)),"Médio",IF(OR(AND(L203&gt;1,L203&lt;4,K203&gt;19),AND(L203&gt;3,K203&gt;5,K203&lt;20),AND(L203&gt;3,K203&gt;19)),"Complexo",""))),""))</f>
        <v/>
      </c>
      <c r="O203" s="45" t="str">
        <f t="shared" ref="O203:O266" si="19">IF(M203="ALI",IF(OR(AND(OR(L203=1,L203=0),K203&gt;0,K203&lt;20),AND(OR(L203=1,L203=0),K203&gt;19,K203&lt;51),AND(L203&gt;1,L203&lt;6,K203&gt;0,K203&lt;20)),"Simples",IF(OR(AND(OR(L203=1,L203=0),K203&gt;50),AND(L203&gt;1,L203&lt;6,K203&gt;19,K203&lt;51),AND(L203&gt;5,K203&gt;0,K203&lt;20)),"Médio",IF(OR(AND(L203&gt;1,L203&lt;6,K203&gt;50),AND(L203&gt;5,K203&gt;19,K203&lt;51),AND(L203&gt;5,K203&gt;50)),"Complexo",""))),
IF(M203="AIE",IF(OR(AND(OR(L203=1, L203=0),K203&gt;0,K203&lt;20),AND(OR(L203=1, L203=0),K203&gt;19,K203&lt;51),AND(L203&gt;1,L203&lt;6,K203&gt;0,K203&lt;20)),"Simples",IF(OR(AND(OR(L203=1, L203=0),K203&gt;50),AND(L203&gt;1,L203&lt;6,K203&gt;19,K203&lt;51),AND(L203&gt;5,K203&gt;0,K203&lt;20)),"Médio",IF(OR(AND(L203&gt;1,L203&lt;6,K203&gt;50),AND(L203&gt;5,K203&gt;19,K203&lt;51),AND(L203&gt;5,K203&gt;50)),"Complexo",""))),""))</f>
        <v/>
      </c>
      <c r="P203" s="149" t="str">
        <f t="shared" ref="P203:P266" si="20">IF(N203="",O203,IF(O203="",N203,""))</f>
        <v/>
      </c>
      <c r="Q203" s="157">
        <f t="shared" ref="Q203:Q266" si="21">IF(AND(OR(M203="EE",M203="CE"),P203="Simples"),3,
IF(AND(OR(M203="EE",M203="CE"),P203="Médio"),4,
IF(AND(OR(M203="EE",M203="CE"),P203="Complexo"),6,
IF(AND(M203="SE",P203="Simples"),4,
IF(AND(M203="SE",P203="Médio"),5,
IF(AND(M203="SE",P203="Complexo"),7,0))))))</f>
        <v>0</v>
      </c>
      <c r="R203" s="157">
        <f t="shared" ref="R203:R266" si="22">IF(AND(M203="ALI",O203="Simples"),7,
IF(AND(M203="ALI",O203="Médio"),10,
IF(AND(M203="ALI",O203="Complexo"),15,
IF(AND(M203="AIE",O203="Simples"),5,
IF(AND(M203="AIE",O203="Médio"),7,
IF(AND(M203="AIE",O203="Complexo"),10,0))))))</f>
        <v>0</v>
      </c>
      <c r="S203" s="149">
        <f t="shared" si="17"/>
        <v>0</v>
      </c>
      <c r="T203" s="44"/>
    </row>
    <row r="204" spans="1:20" s="46" customFormat="1" ht="14.25" customHeight="1">
      <c r="A204" s="38"/>
      <c r="B204" s="56"/>
      <c r="C204" s="155">
        <f>IF($B204&lt;&gt;"",VLOOKUP($B204,Matriz_INM,2,0),0)</f>
        <v>0</v>
      </c>
      <c r="D204" s="44"/>
      <c r="E204" s="44"/>
      <c r="F204" s="44"/>
      <c r="G204" s="44"/>
      <c r="H204" s="45"/>
      <c r="I204" s="156" t="str">
        <f>IFERROR(VLOOKUP($B204,Matriz_INM,3,0),"")</f>
        <v/>
      </c>
      <c r="J204" s="57"/>
      <c r="K204" s="57"/>
      <c r="L204" s="57"/>
      <c r="M204" s="44"/>
      <c r="N204" s="45" t="str">
        <f t="shared" si="18"/>
        <v/>
      </c>
      <c r="O204" s="45" t="str">
        <f t="shared" si="19"/>
        <v/>
      </c>
      <c r="P204" s="149" t="str">
        <f t="shared" si="20"/>
        <v/>
      </c>
      <c r="Q204" s="157">
        <f t="shared" si="21"/>
        <v>0</v>
      </c>
      <c r="R204" s="157">
        <f t="shared" si="22"/>
        <v>0</v>
      </c>
      <c r="S204" s="149">
        <f t="shared" ref="S204:S267" si="23">IF($I204="%",($Q204+$R204)*$C204,$C204)</f>
        <v>0</v>
      </c>
      <c r="T204" s="44"/>
    </row>
    <row r="205" spans="1:20" s="46" customFormat="1" ht="14.25" customHeight="1">
      <c r="A205" s="38"/>
      <c r="B205" s="56"/>
      <c r="C205" s="155">
        <f>IF($B205&lt;&gt;"",VLOOKUP($B205,Matriz_INM,2,0),0)</f>
        <v>0</v>
      </c>
      <c r="D205" s="44"/>
      <c r="E205" s="44"/>
      <c r="F205" s="44"/>
      <c r="G205" s="44"/>
      <c r="H205" s="45"/>
      <c r="I205" s="156" t="str">
        <f>IFERROR(VLOOKUP($B205,Matriz_INM,3,0),"")</f>
        <v/>
      </c>
      <c r="J205" s="57"/>
      <c r="K205" s="57"/>
      <c r="L205" s="57"/>
      <c r="M205" s="44"/>
      <c r="N205" s="45" t="str">
        <f t="shared" si="18"/>
        <v/>
      </c>
      <c r="O205" s="45" t="str">
        <f t="shared" si="19"/>
        <v/>
      </c>
      <c r="P205" s="149" t="str">
        <f t="shared" si="20"/>
        <v/>
      </c>
      <c r="Q205" s="157">
        <f t="shared" si="21"/>
        <v>0</v>
      </c>
      <c r="R205" s="157">
        <f t="shared" si="22"/>
        <v>0</v>
      </c>
      <c r="S205" s="149">
        <f t="shared" si="23"/>
        <v>0</v>
      </c>
      <c r="T205" s="44"/>
    </row>
    <row r="206" spans="1:20" s="46" customFormat="1" ht="14.25" customHeight="1">
      <c r="A206" s="38"/>
      <c r="B206" s="56"/>
      <c r="C206" s="155">
        <f>IF($B206&lt;&gt;"",VLOOKUP($B206,Matriz_INM,2,0),0)</f>
        <v>0</v>
      </c>
      <c r="D206" s="44"/>
      <c r="E206" s="44"/>
      <c r="F206" s="44"/>
      <c r="G206" s="44"/>
      <c r="H206" s="45"/>
      <c r="I206" s="156" t="str">
        <f>IFERROR(VLOOKUP($B206,Matriz_INM,3,0),"")</f>
        <v/>
      </c>
      <c r="J206" s="57"/>
      <c r="K206" s="57"/>
      <c r="L206" s="57"/>
      <c r="M206" s="44"/>
      <c r="N206" s="45" t="str">
        <f t="shared" si="18"/>
        <v/>
      </c>
      <c r="O206" s="45" t="str">
        <f t="shared" si="19"/>
        <v/>
      </c>
      <c r="P206" s="149" t="str">
        <f t="shared" si="20"/>
        <v/>
      </c>
      <c r="Q206" s="157">
        <f t="shared" si="21"/>
        <v>0</v>
      </c>
      <c r="R206" s="157">
        <f t="shared" si="22"/>
        <v>0</v>
      </c>
      <c r="S206" s="149">
        <f t="shared" si="23"/>
        <v>0</v>
      </c>
      <c r="T206" s="44"/>
    </row>
    <row r="207" spans="1:20" s="46" customFormat="1" ht="14.25" customHeight="1">
      <c r="A207" s="38"/>
      <c r="B207" s="56"/>
      <c r="C207" s="155">
        <f>IF($B207&lt;&gt;"",VLOOKUP($B207,Matriz_INM,2,0),0)</f>
        <v>0</v>
      </c>
      <c r="D207" s="44"/>
      <c r="E207" s="44"/>
      <c r="F207" s="44"/>
      <c r="G207" s="44"/>
      <c r="H207" s="45"/>
      <c r="I207" s="156" t="str">
        <f>IFERROR(VLOOKUP($B207,Matriz_INM,3,0),"")</f>
        <v/>
      </c>
      <c r="J207" s="57"/>
      <c r="K207" s="57"/>
      <c r="L207" s="57"/>
      <c r="M207" s="44"/>
      <c r="N207" s="45" t="str">
        <f t="shared" si="18"/>
        <v/>
      </c>
      <c r="O207" s="45" t="str">
        <f t="shared" si="19"/>
        <v/>
      </c>
      <c r="P207" s="149" t="str">
        <f t="shared" si="20"/>
        <v/>
      </c>
      <c r="Q207" s="157">
        <f t="shared" si="21"/>
        <v>0</v>
      </c>
      <c r="R207" s="157">
        <f t="shared" si="22"/>
        <v>0</v>
      </c>
      <c r="S207" s="149">
        <f t="shared" si="23"/>
        <v>0</v>
      </c>
      <c r="T207" s="44"/>
    </row>
    <row r="208" spans="1:20" s="46" customFormat="1" ht="14.25" customHeight="1">
      <c r="A208" s="38"/>
      <c r="B208" s="56"/>
      <c r="C208" s="155">
        <f>IF($B208&lt;&gt;"",VLOOKUP($B208,Matriz_INM,2,0),0)</f>
        <v>0</v>
      </c>
      <c r="D208" s="44"/>
      <c r="E208" s="44"/>
      <c r="F208" s="44"/>
      <c r="G208" s="44"/>
      <c r="H208" s="45"/>
      <c r="I208" s="156" t="str">
        <f>IFERROR(VLOOKUP($B208,Matriz_INM,3,0),"")</f>
        <v/>
      </c>
      <c r="J208" s="57"/>
      <c r="K208" s="57"/>
      <c r="L208" s="57"/>
      <c r="M208" s="44"/>
      <c r="N208" s="45" t="str">
        <f t="shared" si="18"/>
        <v/>
      </c>
      <c r="O208" s="45" t="str">
        <f t="shared" si="19"/>
        <v/>
      </c>
      <c r="P208" s="149" t="str">
        <f t="shared" si="20"/>
        <v/>
      </c>
      <c r="Q208" s="157">
        <f t="shared" si="21"/>
        <v>0</v>
      </c>
      <c r="R208" s="157">
        <f t="shared" si="22"/>
        <v>0</v>
      </c>
      <c r="S208" s="149">
        <f t="shared" si="23"/>
        <v>0</v>
      </c>
      <c r="T208" s="44"/>
    </row>
    <row r="209" spans="1:20" s="46" customFormat="1" ht="14.25" customHeight="1">
      <c r="A209" s="38"/>
      <c r="B209" s="56"/>
      <c r="C209" s="155">
        <f>IF($B209&lt;&gt;"",VLOOKUP($B209,Matriz_INM,2,0),0)</f>
        <v>0</v>
      </c>
      <c r="D209" s="44"/>
      <c r="E209" s="44"/>
      <c r="F209" s="44"/>
      <c r="G209" s="44"/>
      <c r="H209" s="45"/>
      <c r="I209" s="156" t="str">
        <f>IFERROR(VLOOKUP($B209,Matriz_INM,3,0),"")</f>
        <v/>
      </c>
      <c r="J209" s="57"/>
      <c r="K209" s="57"/>
      <c r="L209" s="57"/>
      <c r="M209" s="44"/>
      <c r="N209" s="45" t="str">
        <f t="shared" si="18"/>
        <v/>
      </c>
      <c r="O209" s="45" t="str">
        <f t="shared" si="19"/>
        <v/>
      </c>
      <c r="P209" s="149" t="str">
        <f t="shared" si="20"/>
        <v/>
      </c>
      <c r="Q209" s="157">
        <f t="shared" si="21"/>
        <v>0</v>
      </c>
      <c r="R209" s="157">
        <f t="shared" si="22"/>
        <v>0</v>
      </c>
      <c r="S209" s="149">
        <f t="shared" si="23"/>
        <v>0</v>
      </c>
      <c r="T209" s="44"/>
    </row>
    <row r="210" spans="1:20" s="46" customFormat="1" ht="14.25" customHeight="1">
      <c r="A210" s="38"/>
      <c r="B210" s="56"/>
      <c r="C210" s="155">
        <f>IF($B210&lt;&gt;"",VLOOKUP($B210,Matriz_INM,2,0),0)</f>
        <v>0</v>
      </c>
      <c r="D210" s="44"/>
      <c r="E210" s="44"/>
      <c r="F210" s="44"/>
      <c r="G210" s="44"/>
      <c r="H210" s="45"/>
      <c r="I210" s="156" t="str">
        <f>IFERROR(VLOOKUP($B210,Matriz_INM,3,0),"")</f>
        <v/>
      </c>
      <c r="J210" s="57"/>
      <c r="K210" s="57"/>
      <c r="L210" s="57"/>
      <c r="M210" s="44"/>
      <c r="N210" s="45" t="str">
        <f t="shared" si="18"/>
        <v/>
      </c>
      <c r="O210" s="45" t="str">
        <f t="shared" si="19"/>
        <v/>
      </c>
      <c r="P210" s="149" t="str">
        <f t="shared" si="20"/>
        <v/>
      </c>
      <c r="Q210" s="157">
        <f t="shared" si="21"/>
        <v>0</v>
      </c>
      <c r="R210" s="157">
        <f t="shared" si="22"/>
        <v>0</v>
      </c>
      <c r="S210" s="149">
        <f t="shared" si="23"/>
        <v>0</v>
      </c>
      <c r="T210" s="44"/>
    </row>
    <row r="211" spans="1:20" s="46" customFormat="1" ht="14.25" customHeight="1">
      <c r="A211" s="38"/>
      <c r="B211" s="56"/>
      <c r="C211" s="155">
        <f>IF($B211&lt;&gt;"",VLOOKUP($B211,Matriz_INM,2,0),0)</f>
        <v>0</v>
      </c>
      <c r="D211" s="44"/>
      <c r="E211" s="44"/>
      <c r="F211" s="44"/>
      <c r="G211" s="44"/>
      <c r="H211" s="45"/>
      <c r="I211" s="156" t="str">
        <f>IFERROR(VLOOKUP($B211,Matriz_INM,3,0),"")</f>
        <v/>
      </c>
      <c r="J211" s="57"/>
      <c r="K211" s="57"/>
      <c r="L211" s="57"/>
      <c r="M211" s="44"/>
      <c r="N211" s="45" t="str">
        <f t="shared" si="18"/>
        <v/>
      </c>
      <c r="O211" s="45" t="str">
        <f t="shared" si="19"/>
        <v/>
      </c>
      <c r="P211" s="149" t="str">
        <f t="shared" si="20"/>
        <v/>
      </c>
      <c r="Q211" s="157">
        <f t="shared" si="21"/>
        <v>0</v>
      </c>
      <c r="R211" s="157">
        <f t="shared" si="22"/>
        <v>0</v>
      </c>
      <c r="S211" s="149">
        <f t="shared" si="23"/>
        <v>0</v>
      </c>
      <c r="T211" s="44"/>
    </row>
    <row r="212" spans="1:20" s="46" customFormat="1" ht="14.25" customHeight="1">
      <c r="A212" s="38"/>
      <c r="B212" s="56"/>
      <c r="C212" s="155">
        <f>IF($B212&lt;&gt;"",VLOOKUP($B212,Matriz_INM,2,0),0)</f>
        <v>0</v>
      </c>
      <c r="D212" s="44"/>
      <c r="E212" s="44"/>
      <c r="F212" s="44"/>
      <c r="G212" s="44"/>
      <c r="H212" s="45"/>
      <c r="I212" s="156" t="str">
        <f>IFERROR(VLOOKUP($B212,Matriz_INM,3,0),"")</f>
        <v/>
      </c>
      <c r="J212" s="57"/>
      <c r="K212" s="57"/>
      <c r="L212" s="57"/>
      <c r="M212" s="44"/>
      <c r="N212" s="45" t="str">
        <f t="shared" si="18"/>
        <v/>
      </c>
      <c r="O212" s="45" t="str">
        <f t="shared" si="19"/>
        <v/>
      </c>
      <c r="P212" s="149" t="str">
        <f t="shared" si="20"/>
        <v/>
      </c>
      <c r="Q212" s="157">
        <f t="shared" si="21"/>
        <v>0</v>
      </c>
      <c r="R212" s="157">
        <f t="shared" si="22"/>
        <v>0</v>
      </c>
      <c r="S212" s="149">
        <f t="shared" si="23"/>
        <v>0</v>
      </c>
      <c r="T212" s="44"/>
    </row>
    <row r="213" spans="1:20" s="46" customFormat="1" ht="14.25" customHeight="1">
      <c r="A213" s="38"/>
      <c r="B213" s="56"/>
      <c r="C213" s="155">
        <f>IF($B213&lt;&gt;"",VLOOKUP($B213,Matriz_INM,2,0),0)</f>
        <v>0</v>
      </c>
      <c r="D213" s="44"/>
      <c r="E213" s="44"/>
      <c r="F213" s="44"/>
      <c r="G213" s="44"/>
      <c r="H213" s="45"/>
      <c r="I213" s="156" t="str">
        <f>IFERROR(VLOOKUP($B213,Matriz_INM,3,0),"")</f>
        <v/>
      </c>
      <c r="J213" s="57"/>
      <c r="K213" s="57"/>
      <c r="L213" s="57"/>
      <c r="M213" s="44"/>
      <c r="N213" s="45" t="str">
        <f t="shared" si="18"/>
        <v/>
      </c>
      <c r="O213" s="45" t="str">
        <f t="shared" si="19"/>
        <v/>
      </c>
      <c r="P213" s="149" t="str">
        <f t="shared" si="20"/>
        <v/>
      </c>
      <c r="Q213" s="157">
        <f t="shared" si="21"/>
        <v>0</v>
      </c>
      <c r="R213" s="157">
        <f t="shared" si="22"/>
        <v>0</v>
      </c>
      <c r="S213" s="149">
        <f t="shared" si="23"/>
        <v>0</v>
      </c>
      <c r="T213" s="44"/>
    </row>
    <row r="214" spans="1:20" s="46" customFormat="1" ht="14.25" customHeight="1">
      <c r="A214" s="38"/>
      <c r="B214" s="56"/>
      <c r="C214" s="155">
        <f>IF($B214&lt;&gt;"",VLOOKUP($B214,Matriz_INM,2,0),0)</f>
        <v>0</v>
      </c>
      <c r="D214" s="44"/>
      <c r="E214" s="44"/>
      <c r="F214" s="44"/>
      <c r="G214" s="44"/>
      <c r="H214" s="45"/>
      <c r="I214" s="156" t="str">
        <f>IFERROR(VLOOKUP($B214,Matriz_INM,3,0),"")</f>
        <v/>
      </c>
      <c r="J214" s="57"/>
      <c r="K214" s="57"/>
      <c r="L214" s="57"/>
      <c r="M214" s="44"/>
      <c r="N214" s="45" t="str">
        <f t="shared" si="18"/>
        <v/>
      </c>
      <c r="O214" s="45" t="str">
        <f t="shared" si="19"/>
        <v/>
      </c>
      <c r="P214" s="149" t="str">
        <f t="shared" si="20"/>
        <v/>
      </c>
      <c r="Q214" s="157">
        <f t="shared" si="21"/>
        <v>0</v>
      </c>
      <c r="R214" s="157">
        <f t="shared" si="22"/>
        <v>0</v>
      </c>
      <c r="S214" s="149">
        <f t="shared" si="23"/>
        <v>0</v>
      </c>
      <c r="T214" s="44"/>
    </row>
    <row r="215" spans="1:20" s="46" customFormat="1" ht="14.25" customHeight="1">
      <c r="A215" s="38"/>
      <c r="B215" s="56"/>
      <c r="C215" s="155">
        <f>IF($B215&lt;&gt;"",VLOOKUP($B215,Matriz_INM,2,0),0)</f>
        <v>0</v>
      </c>
      <c r="D215" s="44"/>
      <c r="E215" s="44"/>
      <c r="F215" s="44"/>
      <c r="G215" s="44"/>
      <c r="H215" s="45"/>
      <c r="I215" s="156" t="str">
        <f>IFERROR(VLOOKUP($B215,Matriz_INM,3,0),"")</f>
        <v/>
      </c>
      <c r="J215" s="57"/>
      <c r="K215" s="57"/>
      <c r="L215" s="57"/>
      <c r="M215" s="44"/>
      <c r="N215" s="45" t="str">
        <f t="shared" si="18"/>
        <v/>
      </c>
      <c r="O215" s="45" t="str">
        <f t="shared" si="19"/>
        <v/>
      </c>
      <c r="P215" s="149" t="str">
        <f t="shared" si="20"/>
        <v/>
      </c>
      <c r="Q215" s="157">
        <f t="shared" si="21"/>
        <v>0</v>
      </c>
      <c r="R215" s="157">
        <f t="shared" si="22"/>
        <v>0</v>
      </c>
      <c r="S215" s="149">
        <f t="shared" si="23"/>
        <v>0</v>
      </c>
      <c r="T215" s="44"/>
    </row>
    <row r="216" spans="1:20" s="46" customFormat="1" ht="14.25" customHeight="1">
      <c r="A216" s="38"/>
      <c r="B216" s="56"/>
      <c r="C216" s="155">
        <f>IF($B216&lt;&gt;"",VLOOKUP($B216,Matriz_INM,2,0),0)</f>
        <v>0</v>
      </c>
      <c r="D216" s="44"/>
      <c r="E216" s="44"/>
      <c r="F216" s="44"/>
      <c r="G216" s="44"/>
      <c r="H216" s="45"/>
      <c r="I216" s="156" t="str">
        <f>IFERROR(VLOOKUP($B216,Matriz_INM,3,0),"")</f>
        <v/>
      </c>
      <c r="J216" s="57"/>
      <c r="K216" s="57"/>
      <c r="L216" s="57"/>
      <c r="M216" s="44"/>
      <c r="N216" s="45" t="str">
        <f t="shared" si="18"/>
        <v/>
      </c>
      <c r="O216" s="45" t="str">
        <f t="shared" si="19"/>
        <v/>
      </c>
      <c r="P216" s="149" t="str">
        <f t="shared" si="20"/>
        <v/>
      </c>
      <c r="Q216" s="157">
        <f t="shared" si="21"/>
        <v>0</v>
      </c>
      <c r="R216" s="157">
        <f t="shared" si="22"/>
        <v>0</v>
      </c>
      <c r="S216" s="149">
        <f t="shared" si="23"/>
        <v>0</v>
      </c>
      <c r="T216" s="44"/>
    </row>
    <row r="217" spans="1:20" s="46" customFormat="1" ht="14.25" customHeight="1">
      <c r="A217" s="38"/>
      <c r="B217" s="56"/>
      <c r="C217" s="155">
        <f>IF($B217&lt;&gt;"",VLOOKUP($B217,Matriz_INM,2,0),0)</f>
        <v>0</v>
      </c>
      <c r="D217" s="44"/>
      <c r="E217" s="44"/>
      <c r="F217" s="44"/>
      <c r="G217" s="44"/>
      <c r="H217" s="45"/>
      <c r="I217" s="156" t="str">
        <f>IFERROR(VLOOKUP($B217,Matriz_INM,3,0),"")</f>
        <v/>
      </c>
      <c r="J217" s="57"/>
      <c r="K217" s="57"/>
      <c r="L217" s="57"/>
      <c r="M217" s="44"/>
      <c r="N217" s="45" t="str">
        <f t="shared" si="18"/>
        <v/>
      </c>
      <c r="O217" s="45" t="str">
        <f t="shared" si="19"/>
        <v/>
      </c>
      <c r="P217" s="149" t="str">
        <f t="shared" si="20"/>
        <v/>
      </c>
      <c r="Q217" s="157">
        <f t="shared" si="21"/>
        <v>0</v>
      </c>
      <c r="R217" s="157">
        <f t="shared" si="22"/>
        <v>0</v>
      </c>
      <c r="S217" s="149">
        <f t="shared" si="23"/>
        <v>0</v>
      </c>
      <c r="T217" s="44"/>
    </row>
    <row r="218" spans="1:20" s="46" customFormat="1" ht="14.25" customHeight="1">
      <c r="A218" s="38"/>
      <c r="B218" s="56"/>
      <c r="C218" s="155">
        <f>IF($B218&lt;&gt;"",VLOOKUP($B218,Matriz_INM,2,0),0)</f>
        <v>0</v>
      </c>
      <c r="D218" s="44"/>
      <c r="E218" s="44"/>
      <c r="F218" s="44"/>
      <c r="G218" s="44"/>
      <c r="H218" s="45"/>
      <c r="I218" s="156" t="str">
        <f>IFERROR(VLOOKUP($B218,Matriz_INM,3,0),"")</f>
        <v/>
      </c>
      <c r="J218" s="57"/>
      <c r="K218" s="57"/>
      <c r="L218" s="57"/>
      <c r="M218" s="44"/>
      <c r="N218" s="45" t="str">
        <f t="shared" si="18"/>
        <v/>
      </c>
      <c r="O218" s="45" t="str">
        <f t="shared" si="19"/>
        <v/>
      </c>
      <c r="P218" s="149" t="str">
        <f t="shared" si="20"/>
        <v/>
      </c>
      <c r="Q218" s="157">
        <f t="shared" si="21"/>
        <v>0</v>
      </c>
      <c r="R218" s="157">
        <f t="shared" si="22"/>
        <v>0</v>
      </c>
      <c r="S218" s="149">
        <f t="shared" si="23"/>
        <v>0</v>
      </c>
      <c r="T218" s="44"/>
    </row>
    <row r="219" spans="1:20" s="46" customFormat="1" ht="14.25" customHeight="1">
      <c r="A219" s="38"/>
      <c r="B219" s="56"/>
      <c r="C219" s="155">
        <f>IF($B219&lt;&gt;"",VLOOKUP($B219,Matriz_INM,2,0),0)</f>
        <v>0</v>
      </c>
      <c r="D219" s="44"/>
      <c r="E219" s="44"/>
      <c r="F219" s="44"/>
      <c r="G219" s="44"/>
      <c r="H219" s="45"/>
      <c r="I219" s="156" t="str">
        <f>IFERROR(VLOOKUP($B219,Matriz_INM,3,0),"")</f>
        <v/>
      </c>
      <c r="J219" s="57"/>
      <c r="K219" s="57"/>
      <c r="L219" s="57"/>
      <c r="M219" s="44"/>
      <c r="N219" s="45" t="str">
        <f t="shared" si="18"/>
        <v/>
      </c>
      <c r="O219" s="45" t="str">
        <f t="shared" si="19"/>
        <v/>
      </c>
      <c r="P219" s="149" t="str">
        <f t="shared" si="20"/>
        <v/>
      </c>
      <c r="Q219" s="157">
        <f t="shared" si="21"/>
        <v>0</v>
      </c>
      <c r="R219" s="157">
        <f t="shared" si="22"/>
        <v>0</v>
      </c>
      <c r="S219" s="149">
        <f t="shared" si="23"/>
        <v>0</v>
      </c>
      <c r="T219" s="44"/>
    </row>
    <row r="220" spans="1:20" s="46" customFormat="1" ht="14.25" customHeight="1">
      <c r="A220" s="38"/>
      <c r="B220" s="56"/>
      <c r="C220" s="155">
        <f>IF($B220&lt;&gt;"",VLOOKUP($B220,Matriz_INM,2,0),0)</f>
        <v>0</v>
      </c>
      <c r="D220" s="44"/>
      <c r="E220" s="44"/>
      <c r="F220" s="44"/>
      <c r="G220" s="44"/>
      <c r="H220" s="45"/>
      <c r="I220" s="156" t="str">
        <f>IFERROR(VLOOKUP($B220,Matriz_INM,3,0),"")</f>
        <v/>
      </c>
      <c r="J220" s="57"/>
      <c r="K220" s="57"/>
      <c r="L220" s="57"/>
      <c r="M220" s="44"/>
      <c r="N220" s="45" t="str">
        <f t="shared" si="18"/>
        <v/>
      </c>
      <c r="O220" s="45" t="str">
        <f t="shared" si="19"/>
        <v/>
      </c>
      <c r="P220" s="149" t="str">
        <f t="shared" si="20"/>
        <v/>
      </c>
      <c r="Q220" s="157">
        <f t="shared" si="21"/>
        <v>0</v>
      </c>
      <c r="R220" s="157">
        <f t="shared" si="22"/>
        <v>0</v>
      </c>
      <c r="S220" s="149">
        <f t="shared" si="23"/>
        <v>0</v>
      </c>
      <c r="T220" s="44"/>
    </row>
    <row r="221" spans="1:20" s="46" customFormat="1" ht="14.25" customHeight="1">
      <c r="A221" s="38"/>
      <c r="B221" s="56"/>
      <c r="C221" s="155">
        <f>IF($B221&lt;&gt;"",VLOOKUP($B221,Matriz_INM,2,0),0)</f>
        <v>0</v>
      </c>
      <c r="D221" s="44"/>
      <c r="E221" s="44"/>
      <c r="F221" s="44"/>
      <c r="G221" s="44"/>
      <c r="H221" s="45"/>
      <c r="I221" s="156" t="str">
        <f>IFERROR(VLOOKUP($B221,Matriz_INM,3,0),"")</f>
        <v/>
      </c>
      <c r="J221" s="57"/>
      <c r="K221" s="57"/>
      <c r="L221" s="57"/>
      <c r="M221" s="44"/>
      <c r="N221" s="45" t="str">
        <f t="shared" si="18"/>
        <v/>
      </c>
      <c r="O221" s="45" t="str">
        <f t="shared" si="19"/>
        <v/>
      </c>
      <c r="P221" s="149" t="str">
        <f t="shared" si="20"/>
        <v/>
      </c>
      <c r="Q221" s="157">
        <f t="shared" si="21"/>
        <v>0</v>
      </c>
      <c r="R221" s="157">
        <f t="shared" si="22"/>
        <v>0</v>
      </c>
      <c r="S221" s="149">
        <f t="shared" si="23"/>
        <v>0</v>
      </c>
      <c r="T221" s="44"/>
    </row>
    <row r="222" spans="1:20" s="46" customFormat="1" ht="14.25" customHeight="1">
      <c r="A222" s="38"/>
      <c r="B222" s="56"/>
      <c r="C222" s="155">
        <f>IF($B222&lt;&gt;"",VLOOKUP($B222,Matriz_INM,2,0),0)</f>
        <v>0</v>
      </c>
      <c r="D222" s="44"/>
      <c r="E222" s="44"/>
      <c r="F222" s="44"/>
      <c r="G222" s="44"/>
      <c r="H222" s="45"/>
      <c r="I222" s="156" t="str">
        <f>IFERROR(VLOOKUP($B222,Matriz_INM,3,0),"")</f>
        <v/>
      </c>
      <c r="J222" s="57"/>
      <c r="K222" s="57"/>
      <c r="L222" s="57"/>
      <c r="M222" s="44"/>
      <c r="N222" s="45" t="str">
        <f t="shared" si="18"/>
        <v/>
      </c>
      <c r="O222" s="45" t="str">
        <f t="shared" si="19"/>
        <v/>
      </c>
      <c r="P222" s="149" t="str">
        <f t="shared" si="20"/>
        <v/>
      </c>
      <c r="Q222" s="157">
        <f t="shared" si="21"/>
        <v>0</v>
      </c>
      <c r="R222" s="157">
        <f t="shared" si="22"/>
        <v>0</v>
      </c>
      <c r="S222" s="149">
        <f t="shared" si="23"/>
        <v>0</v>
      </c>
      <c r="T222" s="44"/>
    </row>
    <row r="223" spans="1:20" s="46" customFormat="1" ht="14.25" customHeight="1">
      <c r="A223" s="38"/>
      <c r="B223" s="56"/>
      <c r="C223" s="155">
        <f>IF($B223&lt;&gt;"",VLOOKUP($B223,Matriz_INM,2,0),0)</f>
        <v>0</v>
      </c>
      <c r="D223" s="44"/>
      <c r="E223" s="44"/>
      <c r="F223" s="44"/>
      <c r="G223" s="44"/>
      <c r="H223" s="45"/>
      <c r="I223" s="156" t="str">
        <f>IFERROR(VLOOKUP($B223,Matriz_INM,3,0),"")</f>
        <v/>
      </c>
      <c r="J223" s="57"/>
      <c r="K223" s="57"/>
      <c r="L223" s="57"/>
      <c r="M223" s="44"/>
      <c r="N223" s="45" t="str">
        <f t="shared" si="18"/>
        <v/>
      </c>
      <c r="O223" s="45" t="str">
        <f t="shared" si="19"/>
        <v/>
      </c>
      <c r="P223" s="149" t="str">
        <f t="shared" si="20"/>
        <v/>
      </c>
      <c r="Q223" s="157">
        <f t="shared" si="21"/>
        <v>0</v>
      </c>
      <c r="R223" s="157">
        <f t="shared" si="22"/>
        <v>0</v>
      </c>
      <c r="S223" s="149">
        <f t="shared" si="23"/>
        <v>0</v>
      </c>
      <c r="T223" s="44"/>
    </row>
    <row r="224" spans="1:20" s="46" customFormat="1" ht="14.25" customHeight="1">
      <c r="A224" s="38"/>
      <c r="B224" s="56"/>
      <c r="C224" s="155">
        <f>IF($B224&lt;&gt;"",VLOOKUP($B224,Matriz_INM,2,0),0)</f>
        <v>0</v>
      </c>
      <c r="D224" s="44"/>
      <c r="E224" s="44"/>
      <c r="F224" s="44"/>
      <c r="G224" s="44"/>
      <c r="H224" s="45"/>
      <c r="I224" s="156" t="str">
        <f>IFERROR(VLOOKUP($B224,Matriz_INM,3,0),"")</f>
        <v/>
      </c>
      <c r="J224" s="57"/>
      <c r="K224" s="57"/>
      <c r="L224" s="57"/>
      <c r="M224" s="44"/>
      <c r="N224" s="45" t="str">
        <f t="shared" si="18"/>
        <v/>
      </c>
      <c r="O224" s="45" t="str">
        <f t="shared" si="19"/>
        <v/>
      </c>
      <c r="P224" s="149" t="str">
        <f t="shared" si="20"/>
        <v/>
      </c>
      <c r="Q224" s="157">
        <f t="shared" si="21"/>
        <v>0</v>
      </c>
      <c r="R224" s="157">
        <f t="shared" si="22"/>
        <v>0</v>
      </c>
      <c r="S224" s="149">
        <f t="shared" si="23"/>
        <v>0</v>
      </c>
      <c r="T224" s="44"/>
    </row>
    <row r="225" spans="1:20" s="46" customFormat="1" ht="14.25" customHeight="1">
      <c r="A225" s="38"/>
      <c r="B225" s="56"/>
      <c r="C225" s="155">
        <f>IF($B225&lt;&gt;"",VLOOKUP($B225,Matriz_INM,2,0),0)</f>
        <v>0</v>
      </c>
      <c r="D225" s="44"/>
      <c r="E225" s="44"/>
      <c r="F225" s="44"/>
      <c r="G225" s="44"/>
      <c r="H225" s="45"/>
      <c r="I225" s="156" t="str">
        <f>IFERROR(VLOOKUP($B225,Matriz_INM,3,0),"")</f>
        <v/>
      </c>
      <c r="J225" s="57"/>
      <c r="K225" s="57"/>
      <c r="L225" s="57"/>
      <c r="M225" s="44"/>
      <c r="N225" s="45" t="str">
        <f t="shared" si="18"/>
        <v/>
      </c>
      <c r="O225" s="45" t="str">
        <f t="shared" si="19"/>
        <v/>
      </c>
      <c r="P225" s="149" t="str">
        <f t="shared" si="20"/>
        <v/>
      </c>
      <c r="Q225" s="157">
        <f t="shared" si="21"/>
        <v>0</v>
      </c>
      <c r="R225" s="157">
        <f t="shared" si="22"/>
        <v>0</v>
      </c>
      <c r="S225" s="149">
        <f t="shared" si="23"/>
        <v>0</v>
      </c>
      <c r="T225" s="44"/>
    </row>
    <row r="226" spans="1:20" s="46" customFormat="1" ht="14.25" customHeight="1">
      <c r="A226" s="38"/>
      <c r="B226" s="56"/>
      <c r="C226" s="155">
        <f>IF($B226&lt;&gt;"",VLOOKUP($B226,Matriz_INM,2,0),0)</f>
        <v>0</v>
      </c>
      <c r="D226" s="44"/>
      <c r="E226" s="44"/>
      <c r="F226" s="44"/>
      <c r="G226" s="44"/>
      <c r="H226" s="45"/>
      <c r="I226" s="156" t="str">
        <f>IFERROR(VLOOKUP($B226,Matriz_INM,3,0),"")</f>
        <v/>
      </c>
      <c r="J226" s="57"/>
      <c r="K226" s="57"/>
      <c r="L226" s="57"/>
      <c r="M226" s="44"/>
      <c r="N226" s="45" t="str">
        <f t="shared" si="18"/>
        <v/>
      </c>
      <c r="O226" s="45" t="str">
        <f t="shared" si="19"/>
        <v/>
      </c>
      <c r="P226" s="149" t="str">
        <f t="shared" si="20"/>
        <v/>
      </c>
      <c r="Q226" s="157">
        <f t="shared" si="21"/>
        <v>0</v>
      </c>
      <c r="R226" s="157">
        <f t="shared" si="22"/>
        <v>0</v>
      </c>
      <c r="S226" s="149">
        <f t="shared" si="23"/>
        <v>0</v>
      </c>
      <c r="T226" s="44"/>
    </row>
    <row r="227" spans="1:20" s="46" customFormat="1" ht="14.25" customHeight="1">
      <c r="A227" s="38"/>
      <c r="B227" s="56"/>
      <c r="C227" s="155">
        <f>IF($B227&lt;&gt;"",VLOOKUP($B227,Matriz_INM,2,0),0)</f>
        <v>0</v>
      </c>
      <c r="D227" s="44"/>
      <c r="E227" s="44"/>
      <c r="F227" s="44"/>
      <c r="G227" s="44"/>
      <c r="H227" s="45"/>
      <c r="I227" s="156" t="str">
        <f>IFERROR(VLOOKUP($B227,Matriz_INM,3,0),"")</f>
        <v/>
      </c>
      <c r="J227" s="57"/>
      <c r="K227" s="57"/>
      <c r="L227" s="57"/>
      <c r="M227" s="44"/>
      <c r="N227" s="45" t="str">
        <f t="shared" si="18"/>
        <v/>
      </c>
      <c r="O227" s="45" t="str">
        <f t="shared" si="19"/>
        <v/>
      </c>
      <c r="P227" s="149" t="str">
        <f t="shared" si="20"/>
        <v/>
      </c>
      <c r="Q227" s="157">
        <f t="shared" si="21"/>
        <v>0</v>
      </c>
      <c r="R227" s="157">
        <f t="shared" si="22"/>
        <v>0</v>
      </c>
      <c r="S227" s="149">
        <f t="shared" si="23"/>
        <v>0</v>
      </c>
      <c r="T227" s="44"/>
    </row>
    <row r="228" spans="1:20" s="46" customFormat="1" ht="14.25" customHeight="1">
      <c r="A228" s="38"/>
      <c r="B228" s="56"/>
      <c r="C228" s="155">
        <f>IF($B228&lt;&gt;"",VLOOKUP($B228,Matriz_INM,2,0),0)</f>
        <v>0</v>
      </c>
      <c r="D228" s="44"/>
      <c r="E228" s="44"/>
      <c r="F228" s="44"/>
      <c r="G228" s="44"/>
      <c r="H228" s="45"/>
      <c r="I228" s="156" t="str">
        <f>IFERROR(VLOOKUP($B228,Matriz_INM,3,0),"")</f>
        <v/>
      </c>
      <c r="J228" s="57"/>
      <c r="K228" s="57"/>
      <c r="L228" s="57"/>
      <c r="M228" s="44"/>
      <c r="N228" s="45" t="str">
        <f t="shared" si="18"/>
        <v/>
      </c>
      <c r="O228" s="45" t="str">
        <f t="shared" si="19"/>
        <v/>
      </c>
      <c r="P228" s="149" t="str">
        <f t="shared" si="20"/>
        <v/>
      </c>
      <c r="Q228" s="157">
        <f t="shared" si="21"/>
        <v>0</v>
      </c>
      <c r="R228" s="157">
        <f t="shared" si="22"/>
        <v>0</v>
      </c>
      <c r="S228" s="149">
        <f t="shared" si="23"/>
        <v>0</v>
      </c>
      <c r="T228" s="44"/>
    </row>
    <row r="229" spans="1:20" s="46" customFormat="1" ht="14.25" customHeight="1">
      <c r="A229" s="38"/>
      <c r="B229" s="56"/>
      <c r="C229" s="155">
        <f>IF($B229&lt;&gt;"",VLOOKUP($B229,Matriz_INM,2,0),0)</f>
        <v>0</v>
      </c>
      <c r="D229" s="44"/>
      <c r="E229" s="44"/>
      <c r="F229" s="44"/>
      <c r="G229" s="44"/>
      <c r="H229" s="45"/>
      <c r="I229" s="156" t="str">
        <f>IFERROR(VLOOKUP($B229,Matriz_INM,3,0),"")</f>
        <v/>
      </c>
      <c r="J229" s="57"/>
      <c r="K229" s="57"/>
      <c r="L229" s="57"/>
      <c r="M229" s="44"/>
      <c r="N229" s="45" t="str">
        <f t="shared" si="18"/>
        <v/>
      </c>
      <c r="O229" s="45" t="str">
        <f t="shared" si="19"/>
        <v/>
      </c>
      <c r="P229" s="149" t="str">
        <f t="shared" si="20"/>
        <v/>
      </c>
      <c r="Q229" s="157">
        <f t="shared" si="21"/>
        <v>0</v>
      </c>
      <c r="R229" s="157">
        <f t="shared" si="22"/>
        <v>0</v>
      </c>
      <c r="S229" s="149">
        <f t="shared" si="23"/>
        <v>0</v>
      </c>
      <c r="T229" s="44"/>
    </row>
    <row r="230" spans="1:20" s="46" customFormat="1" ht="14.25" customHeight="1">
      <c r="A230" s="38"/>
      <c r="B230" s="56"/>
      <c r="C230" s="155">
        <f>IF($B230&lt;&gt;"",VLOOKUP($B230,Matriz_INM,2,0),0)</f>
        <v>0</v>
      </c>
      <c r="D230" s="44"/>
      <c r="E230" s="44"/>
      <c r="F230" s="44"/>
      <c r="G230" s="44"/>
      <c r="H230" s="45"/>
      <c r="I230" s="156" t="str">
        <f>IFERROR(VLOOKUP($B230,Matriz_INM,3,0),"")</f>
        <v/>
      </c>
      <c r="J230" s="57"/>
      <c r="K230" s="57"/>
      <c r="L230" s="57"/>
      <c r="M230" s="44"/>
      <c r="N230" s="45" t="str">
        <f t="shared" si="18"/>
        <v/>
      </c>
      <c r="O230" s="45" t="str">
        <f t="shared" si="19"/>
        <v/>
      </c>
      <c r="P230" s="149" t="str">
        <f t="shared" si="20"/>
        <v/>
      </c>
      <c r="Q230" s="157">
        <f t="shared" si="21"/>
        <v>0</v>
      </c>
      <c r="R230" s="157">
        <f t="shared" si="22"/>
        <v>0</v>
      </c>
      <c r="S230" s="149">
        <f t="shared" si="23"/>
        <v>0</v>
      </c>
      <c r="T230" s="44"/>
    </row>
    <row r="231" spans="1:20" s="46" customFormat="1" ht="14.25" customHeight="1">
      <c r="A231" s="38"/>
      <c r="B231" s="56"/>
      <c r="C231" s="155">
        <f>IF($B231&lt;&gt;"",VLOOKUP($B231,Matriz_INM,2,0),0)</f>
        <v>0</v>
      </c>
      <c r="D231" s="44"/>
      <c r="E231" s="44"/>
      <c r="F231" s="44"/>
      <c r="G231" s="44"/>
      <c r="H231" s="45"/>
      <c r="I231" s="156" t="str">
        <f>IFERROR(VLOOKUP($B231,Matriz_INM,3,0),"")</f>
        <v/>
      </c>
      <c r="J231" s="57"/>
      <c r="K231" s="57"/>
      <c r="L231" s="57"/>
      <c r="M231" s="44"/>
      <c r="N231" s="45" t="str">
        <f t="shared" si="18"/>
        <v/>
      </c>
      <c r="O231" s="45" t="str">
        <f t="shared" si="19"/>
        <v/>
      </c>
      <c r="P231" s="149" t="str">
        <f t="shared" si="20"/>
        <v/>
      </c>
      <c r="Q231" s="157">
        <f t="shared" si="21"/>
        <v>0</v>
      </c>
      <c r="R231" s="157">
        <f t="shared" si="22"/>
        <v>0</v>
      </c>
      <c r="S231" s="149">
        <f t="shared" si="23"/>
        <v>0</v>
      </c>
      <c r="T231" s="44"/>
    </row>
    <row r="232" spans="1:20" s="46" customFormat="1" ht="14.25" customHeight="1">
      <c r="A232" s="38"/>
      <c r="B232" s="56"/>
      <c r="C232" s="155">
        <f>IF($B232&lt;&gt;"",VLOOKUP($B232,Matriz_INM,2,0),0)</f>
        <v>0</v>
      </c>
      <c r="D232" s="44"/>
      <c r="E232" s="44"/>
      <c r="F232" s="44"/>
      <c r="G232" s="44"/>
      <c r="H232" s="45"/>
      <c r="I232" s="156" t="str">
        <f>IFERROR(VLOOKUP($B232,Matriz_INM,3,0),"")</f>
        <v/>
      </c>
      <c r="J232" s="57"/>
      <c r="K232" s="57"/>
      <c r="L232" s="57"/>
      <c r="M232" s="44"/>
      <c r="N232" s="45" t="str">
        <f t="shared" si="18"/>
        <v/>
      </c>
      <c r="O232" s="45" t="str">
        <f t="shared" si="19"/>
        <v/>
      </c>
      <c r="P232" s="149" t="str">
        <f t="shared" si="20"/>
        <v/>
      </c>
      <c r="Q232" s="157">
        <f t="shared" si="21"/>
        <v>0</v>
      </c>
      <c r="R232" s="157">
        <f t="shared" si="22"/>
        <v>0</v>
      </c>
      <c r="S232" s="149">
        <f t="shared" si="23"/>
        <v>0</v>
      </c>
      <c r="T232" s="44"/>
    </row>
    <row r="233" spans="1:20" s="46" customFormat="1" ht="14.25" customHeight="1">
      <c r="A233" s="38"/>
      <c r="B233" s="56"/>
      <c r="C233" s="155">
        <f>IF($B233&lt;&gt;"",VLOOKUP($B233,Matriz_INM,2,0),0)</f>
        <v>0</v>
      </c>
      <c r="D233" s="44"/>
      <c r="E233" s="44"/>
      <c r="F233" s="44"/>
      <c r="G233" s="44"/>
      <c r="H233" s="45"/>
      <c r="I233" s="156" t="str">
        <f>IFERROR(VLOOKUP($B233,Matriz_INM,3,0),"")</f>
        <v/>
      </c>
      <c r="J233" s="57"/>
      <c r="K233" s="57"/>
      <c r="L233" s="57"/>
      <c r="M233" s="44"/>
      <c r="N233" s="45" t="str">
        <f t="shared" si="18"/>
        <v/>
      </c>
      <c r="O233" s="45" t="str">
        <f t="shared" si="19"/>
        <v/>
      </c>
      <c r="P233" s="149" t="str">
        <f t="shared" si="20"/>
        <v/>
      </c>
      <c r="Q233" s="157">
        <f t="shared" si="21"/>
        <v>0</v>
      </c>
      <c r="R233" s="157">
        <f t="shared" si="22"/>
        <v>0</v>
      </c>
      <c r="S233" s="149">
        <f t="shared" si="23"/>
        <v>0</v>
      </c>
      <c r="T233" s="44"/>
    </row>
    <row r="234" spans="1:20" s="46" customFormat="1" ht="14.25" customHeight="1">
      <c r="A234" s="38"/>
      <c r="B234" s="56"/>
      <c r="C234" s="155">
        <f>IF($B234&lt;&gt;"",VLOOKUP($B234,Matriz_INM,2,0),0)</f>
        <v>0</v>
      </c>
      <c r="D234" s="44"/>
      <c r="E234" s="44"/>
      <c r="F234" s="44"/>
      <c r="G234" s="44"/>
      <c r="H234" s="45"/>
      <c r="I234" s="156" t="str">
        <f>IFERROR(VLOOKUP($B234,Matriz_INM,3,0),"")</f>
        <v/>
      </c>
      <c r="J234" s="57"/>
      <c r="K234" s="57"/>
      <c r="L234" s="57"/>
      <c r="M234" s="44"/>
      <c r="N234" s="45" t="str">
        <f t="shared" si="18"/>
        <v/>
      </c>
      <c r="O234" s="45" t="str">
        <f t="shared" si="19"/>
        <v/>
      </c>
      <c r="P234" s="149" t="str">
        <f t="shared" si="20"/>
        <v/>
      </c>
      <c r="Q234" s="157">
        <f t="shared" si="21"/>
        <v>0</v>
      </c>
      <c r="R234" s="157">
        <f t="shared" si="22"/>
        <v>0</v>
      </c>
      <c r="S234" s="149">
        <f t="shared" si="23"/>
        <v>0</v>
      </c>
      <c r="T234" s="44"/>
    </row>
    <row r="235" spans="1:20" s="46" customFormat="1" ht="14.25" customHeight="1">
      <c r="A235" s="38"/>
      <c r="B235" s="56"/>
      <c r="C235" s="155">
        <f>IF($B235&lt;&gt;"",VLOOKUP($B235,Matriz_INM,2,0),0)</f>
        <v>0</v>
      </c>
      <c r="D235" s="44"/>
      <c r="E235" s="44"/>
      <c r="F235" s="44"/>
      <c r="G235" s="44"/>
      <c r="H235" s="45"/>
      <c r="I235" s="156" t="str">
        <f>IFERROR(VLOOKUP($B235,Matriz_INM,3,0),"")</f>
        <v/>
      </c>
      <c r="J235" s="57"/>
      <c r="K235" s="57"/>
      <c r="L235" s="57"/>
      <c r="M235" s="44"/>
      <c r="N235" s="45" t="str">
        <f t="shared" si="18"/>
        <v/>
      </c>
      <c r="O235" s="45" t="str">
        <f t="shared" si="19"/>
        <v/>
      </c>
      <c r="P235" s="149" t="str">
        <f t="shared" si="20"/>
        <v/>
      </c>
      <c r="Q235" s="157">
        <f t="shared" si="21"/>
        <v>0</v>
      </c>
      <c r="R235" s="157">
        <f t="shared" si="22"/>
        <v>0</v>
      </c>
      <c r="S235" s="149">
        <f t="shared" si="23"/>
        <v>0</v>
      </c>
      <c r="T235" s="44"/>
    </row>
    <row r="236" spans="1:20" s="46" customFormat="1" ht="14.25" customHeight="1">
      <c r="A236" s="38"/>
      <c r="B236" s="56"/>
      <c r="C236" s="155">
        <f>IF($B236&lt;&gt;"",VLOOKUP($B236,Matriz_INM,2,0),0)</f>
        <v>0</v>
      </c>
      <c r="D236" s="44"/>
      <c r="E236" s="44"/>
      <c r="F236" s="44"/>
      <c r="G236" s="44"/>
      <c r="H236" s="45"/>
      <c r="I236" s="156" t="str">
        <f>IFERROR(VLOOKUP($B236,Matriz_INM,3,0),"")</f>
        <v/>
      </c>
      <c r="J236" s="57"/>
      <c r="K236" s="57"/>
      <c r="L236" s="57"/>
      <c r="M236" s="44"/>
      <c r="N236" s="45" t="str">
        <f t="shared" si="18"/>
        <v/>
      </c>
      <c r="O236" s="45" t="str">
        <f t="shared" si="19"/>
        <v/>
      </c>
      <c r="P236" s="149" t="str">
        <f t="shared" si="20"/>
        <v/>
      </c>
      <c r="Q236" s="157">
        <f t="shared" si="21"/>
        <v>0</v>
      </c>
      <c r="R236" s="157">
        <f t="shared" si="22"/>
        <v>0</v>
      </c>
      <c r="S236" s="149">
        <f t="shared" si="23"/>
        <v>0</v>
      </c>
      <c r="T236" s="44"/>
    </row>
    <row r="237" spans="1:20" s="46" customFormat="1" ht="14.25" customHeight="1">
      <c r="A237" s="38"/>
      <c r="B237" s="56"/>
      <c r="C237" s="155">
        <f>IF($B237&lt;&gt;"",VLOOKUP($B237,Matriz_INM,2,0),0)</f>
        <v>0</v>
      </c>
      <c r="D237" s="44"/>
      <c r="E237" s="44"/>
      <c r="F237" s="44"/>
      <c r="G237" s="44"/>
      <c r="H237" s="45"/>
      <c r="I237" s="156" t="str">
        <f>IFERROR(VLOOKUP($B237,Matriz_INM,3,0),"")</f>
        <v/>
      </c>
      <c r="J237" s="57"/>
      <c r="K237" s="57"/>
      <c r="L237" s="57"/>
      <c r="M237" s="44"/>
      <c r="N237" s="45" t="str">
        <f t="shared" si="18"/>
        <v/>
      </c>
      <c r="O237" s="45" t="str">
        <f t="shared" si="19"/>
        <v/>
      </c>
      <c r="P237" s="149" t="str">
        <f t="shared" si="20"/>
        <v/>
      </c>
      <c r="Q237" s="157">
        <f t="shared" si="21"/>
        <v>0</v>
      </c>
      <c r="R237" s="157">
        <f t="shared" si="22"/>
        <v>0</v>
      </c>
      <c r="S237" s="149">
        <f t="shared" si="23"/>
        <v>0</v>
      </c>
      <c r="T237" s="44"/>
    </row>
    <row r="238" spans="1:20" s="46" customFormat="1" ht="14.25" customHeight="1">
      <c r="A238" s="38"/>
      <c r="B238" s="56"/>
      <c r="C238" s="155">
        <f>IF($B238&lt;&gt;"",VLOOKUP($B238,Matriz_INM,2,0),0)</f>
        <v>0</v>
      </c>
      <c r="D238" s="44"/>
      <c r="E238" s="44"/>
      <c r="F238" s="44"/>
      <c r="G238" s="44"/>
      <c r="H238" s="45"/>
      <c r="I238" s="156" t="str">
        <f>IFERROR(VLOOKUP($B238,Matriz_INM,3,0),"")</f>
        <v/>
      </c>
      <c r="J238" s="57"/>
      <c r="K238" s="57"/>
      <c r="L238" s="57"/>
      <c r="M238" s="44"/>
      <c r="N238" s="45" t="str">
        <f t="shared" si="18"/>
        <v/>
      </c>
      <c r="O238" s="45" t="str">
        <f t="shared" si="19"/>
        <v/>
      </c>
      <c r="P238" s="149" t="str">
        <f t="shared" si="20"/>
        <v/>
      </c>
      <c r="Q238" s="157">
        <f t="shared" si="21"/>
        <v>0</v>
      </c>
      <c r="R238" s="157">
        <f t="shared" si="22"/>
        <v>0</v>
      </c>
      <c r="S238" s="149">
        <f t="shared" si="23"/>
        <v>0</v>
      </c>
      <c r="T238" s="44"/>
    </row>
    <row r="239" spans="1:20" s="46" customFormat="1" ht="14.25" customHeight="1">
      <c r="A239" s="38"/>
      <c r="B239" s="56"/>
      <c r="C239" s="155">
        <f>IF($B239&lt;&gt;"",VLOOKUP($B239,Matriz_INM,2,0),0)</f>
        <v>0</v>
      </c>
      <c r="D239" s="44"/>
      <c r="E239" s="44"/>
      <c r="F239" s="44"/>
      <c r="G239" s="44"/>
      <c r="H239" s="45"/>
      <c r="I239" s="156" t="str">
        <f>IFERROR(VLOOKUP($B239,Matriz_INM,3,0),"")</f>
        <v/>
      </c>
      <c r="J239" s="57"/>
      <c r="K239" s="57"/>
      <c r="L239" s="57"/>
      <c r="M239" s="44"/>
      <c r="N239" s="45" t="str">
        <f t="shared" si="18"/>
        <v/>
      </c>
      <c r="O239" s="45" t="str">
        <f t="shared" si="19"/>
        <v/>
      </c>
      <c r="P239" s="149" t="str">
        <f t="shared" si="20"/>
        <v/>
      </c>
      <c r="Q239" s="157">
        <f t="shared" si="21"/>
        <v>0</v>
      </c>
      <c r="R239" s="157">
        <f t="shared" si="22"/>
        <v>0</v>
      </c>
      <c r="S239" s="149">
        <f t="shared" si="23"/>
        <v>0</v>
      </c>
      <c r="T239" s="44"/>
    </row>
    <row r="240" spans="1:20" s="46" customFormat="1" ht="14.25" customHeight="1">
      <c r="A240" s="38"/>
      <c r="B240" s="56"/>
      <c r="C240" s="155">
        <f>IF($B240&lt;&gt;"",VLOOKUP($B240,Matriz_INM,2,0),0)</f>
        <v>0</v>
      </c>
      <c r="D240" s="44"/>
      <c r="E240" s="44"/>
      <c r="F240" s="44"/>
      <c r="G240" s="44"/>
      <c r="H240" s="45"/>
      <c r="I240" s="156" t="str">
        <f>IFERROR(VLOOKUP($B240,Matriz_INM,3,0),"")</f>
        <v/>
      </c>
      <c r="J240" s="57"/>
      <c r="K240" s="57"/>
      <c r="L240" s="57"/>
      <c r="M240" s="44"/>
      <c r="N240" s="45" t="str">
        <f t="shared" si="18"/>
        <v/>
      </c>
      <c r="O240" s="45" t="str">
        <f t="shared" si="19"/>
        <v/>
      </c>
      <c r="P240" s="149" t="str">
        <f t="shared" si="20"/>
        <v/>
      </c>
      <c r="Q240" s="157">
        <f t="shared" si="21"/>
        <v>0</v>
      </c>
      <c r="R240" s="157">
        <f t="shared" si="22"/>
        <v>0</v>
      </c>
      <c r="S240" s="149">
        <f t="shared" si="23"/>
        <v>0</v>
      </c>
      <c r="T240" s="44"/>
    </row>
    <row r="241" spans="1:20" s="46" customFormat="1" ht="14.25" customHeight="1">
      <c r="A241" s="38"/>
      <c r="B241" s="56"/>
      <c r="C241" s="155">
        <f>IF($B241&lt;&gt;"",VLOOKUP($B241,Matriz_INM,2,0),0)</f>
        <v>0</v>
      </c>
      <c r="D241" s="44"/>
      <c r="E241" s="44"/>
      <c r="F241" s="44"/>
      <c r="G241" s="44"/>
      <c r="H241" s="45"/>
      <c r="I241" s="156" t="str">
        <f>IFERROR(VLOOKUP($B241,Matriz_INM,3,0),"")</f>
        <v/>
      </c>
      <c r="J241" s="57"/>
      <c r="K241" s="57"/>
      <c r="L241" s="57"/>
      <c r="M241" s="44"/>
      <c r="N241" s="45" t="str">
        <f t="shared" si="18"/>
        <v/>
      </c>
      <c r="O241" s="45" t="str">
        <f t="shared" si="19"/>
        <v/>
      </c>
      <c r="P241" s="149" t="str">
        <f t="shared" si="20"/>
        <v/>
      </c>
      <c r="Q241" s="157">
        <f t="shared" si="21"/>
        <v>0</v>
      </c>
      <c r="R241" s="157">
        <f t="shared" si="22"/>
        <v>0</v>
      </c>
      <c r="S241" s="149">
        <f t="shared" si="23"/>
        <v>0</v>
      </c>
      <c r="T241" s="44"/>
    </row>
    <row r="242" spans="1:20" s="46" customFormat="1" ht="14.25" customHeight="1">
      <c r="A242" s="38"/>
      <c r="B242" s="56"/>
      <c r="C242" s="155">
        <f>IF($B242&lt;&gt;"",VLOOKUP($B242,Matriz_INM,2,0),0)</f>
        <v>0</v>
      </c>
      <c r="D242" s="44"/>
      <c r="E242" s="44"/>
      <c r="F242" s="44"/>
      <c r="G242" s="44"/>
      <c r="H242" s="45"/>
      <c r="I242" s="156" t="str">
        <f>IFERROR(VLOOKUP($B242,Matriz_INM,3,0),"")</f>
        <v/>
      </c>
      <c r="J242" s="57"/>
      <c r="K242" s="57"/>
      <c r="L242" s="57"/>
      <c r="M242" s="44"/>
      <c r="N242" s="45" t="str">
        <f t="shared" si="18"/>
        <v/>
      </c>
      <c r="O242" s="45" t="str">
        <f t="shared" si="19"/>
        <v/>
      </c>
      <c r="P242" s="149" t="str">
        <f t="shared" si="20"/>
        <v/>
      </c>
      <c r="Q242" s="157">
        <f t="shared" si="21"/>
        <v>0</v>
      </c>
      <c r="R242" s="157">
        <f t="shared" si="22"/>
        <v>0</v>
      </c>
      <c r="S242" s="149">
        <f t="shared" si="23"/>
        <v>0</v>
      </c>
      <c r="T242" s="44"/>
    </row>
    <row r="243" spans="1:20" s="46" customFormat="1" ht="14.25" customHeight="1">
      <c r="A243" s="38"/>
      <c r="B243" s="56"/>
      <c r="C243" s="155">
        <f>IF($B243&lt;&gt;"",VLOOKUP($B243,Matriz_INM,2,0),0)</f>
        <v>0</v>
      </c>
      <c r="D243" s="44"/>
      <c r="E243" s="44"/>
      <c r="F243" s="44"/>
      <c r="G243" s="44"/>
      <c r="H243" s="45"/>
      <c r="I243" s="156" t="str">
        <f>IFERROR(VLOOKUP($B243,Matriz_INM,3,0),"")</f>
        <v/>
      </c>
      <c r="J243" s="57"/>
      <c r="K243" s="57"/>
      <c r="L243" s="57"/>
      <c r="M243" s="44"/>
      <c r="N243" s="45" t="str">
        <f t="shared" si="18"/>
        <v/>
      </c>
      <c r="O243" s="45" t="str">
        <f t="shared" si="19"/>
        <v/>
      </c>
      <c r="P243" s="149" t="str">
        <f t="shared" si="20"/>
        <v/>
      </c>
      <c r="Q243" s="157">
        <f t="shared" si="21"/>
        <v>0</v>
      </c>
      <c r="R243" s="157">
        <f t="shared" si="22"/>
        <v>0</v>
      </c>
      <c r="S243" s="149">
        <f t="shared" si="23"/>
        <v>0</v>
      </c>
      <c r="T243" s="44"/>
    </row>
    <row r="244" spans="1:20" s="46" customFormat="1" ht="14.25" customHeight="1">
      <c r="A244" s="38"/>
      <c r="B244" s="56"/>
      <c r="C244" s="155">
        <f>IF($B244&lt;&gt;"",VLOOKUP($B244,Matriz_INM,2,0),0)</f>
        <v>0</v>
      </c>
      <c r="D244" s="44"/>
      <c r="E244" s="44"/>
      <c r="F244" s="44"/>
      <c r="G244" s="44"/>
      <c r="H244" s="45"/>
      <c r="I244" s="156" t="str">
        <f>IFERROR(VLOOKUP($B244,Matriz_INM,3,0),"")</f>
        <v/>
      </c>
      <c r="J244" s="57"/>
      <c r="K244" s="57"/>
      <c r="L244" s="57"/>
      <c r="M244" s="44"/>
      <c r="N244" s="45" t="str">
        <f t="shared" si="18"/>
        <v/>
      </c>
      <c r="O244" s="45" t="str">
        <f t="shared" si="19"/>
        <v/>
      </c>
      <c r="P244" s="149" t="str">
        <f t="shared" si="20"/>
        <v/>
      </c>
      <c r="Q244" s="157">
        <f t="shared" si="21"/>
        <v>0</v>
      </c>
      <c r="R244" s="157">
        <f t="shared" si="22"/>
        <v>0</v>
      </c>
      <c r="S244" s="149">
        <f t="shared" si="23"/>
        <v>0</v>
      </c>
      <c r="T244" s="44"/>
    </row>
    <row r="245" spans="1:20" s="46" customFormat="1" ht="14.25" customHeight="1">
      <c r="A245" s="38"/>
      <c r="B245" s="56"/>
      <c r="C245" s="155">
        <f>IF($B245&lt;&gt;"",VLOOKUP($B245,Matriz_INM,2,0),0)</f>
        <v>0</v>
      </c>
      <c r="D245" s="44"/>
      <c r="E245" s="44"/>
      <c r="F245" s="44"/>
      <c r="G245" s="44"/>
      <c r="H245" s="45"/>
      <c r="I245" s="156" t="str">
        <f>IFERROR(VLOOKUP($B245,Matriz_INM,3,0),"")</f>
        <v/>
      </c>
      <c r="J245" s="57"/>
      <c r="K245" s="57"/>
      <c r="L245" s="57"/>
      <c r="M245" s="44"/>
      <c r="N245" s="45" t="str">
        <f t="shared" si="18"/>
        <v/>
      </c>
      <c r="O245" s="45" t="str">
        <f t="shared" si="19"/>
        <v/>
      </c>
      <c r="P245" s="149" t="str">
        <f t="shared" si="20"/>
        <v/>
      </c>
      <c r="Q245" s="157">
        <f t="shared" si="21"/>
        <v>0</v>
      </c>
      <c r="R245" s="157">
        <f t="shared" si="22"/>
        <v>0</v>
      </c>
      <c r="S245" s="149">
        <f t="shared" si="23"/>
        <v>0</v>
      </c>
      <c r="T245" s="44"/>
    </row>
    <row r="246" spans="1:20" s="46" customFormat="1" ht="14.25" customHeight="1">
      <c r="A246" s="38"/>
      <c r="B246" s="56"/>
      <c r="C246" s="155">
        <f>IF($B246&lt;&gt;"",VLOOKUP($B246,Matriz_INM,2,0),0)</f>
        <v>0</v>
      </c>
      <c r="D246" s="44"/>
      <c r="E246" s="44"/>
      <c r="F246" s="44"/>
      <c r="G246" s="44"/>
      <c r="H246" s="45"/>
      <c r="I246" s="156" t="str">
        <f>IFERROR(VLOOKUP($B246,Matriz_INM,3,0),"")</f>
        <v/>
      </c>
      <c r="J246" s="57"/>
      <c r="K246" s="57"/>
      <c r="L246" s="57"/>
      <c r="M246" s="44"/>
      <c r="N246" s="45" t="str">
        <f t="shared" si="18"/>
        <v/>
      </c>
      <c r="O246" s="45" t="str">
        <f t="shared" si="19"/>
        <v/>
      </c>
      <c r="P246" s="149" t="str">
        <f t="shared" si="20"/>
        <v/>
      </c>
      <c r="Q246" s="157">
        <f t="shared" si="21"/>
        <v>0</v>
      </c>
      <c r="R246" s="157">
        <f t="shared" si="22"/>
        <v>0</v>
      </c>
      <c r="S246" s="149">
        <f t="shared" si="23"/>
        <v>0</v>
      </c>
      <c r="T246" s="44"/>
    </row>
    <row r="247" spans="1:20" s="46" customFormat="1" ht="14.25" customHeight="1">
      <c r="A247" s="38"/>
      <c r="B247" s="56"/>
      <c r="C247" s="155">
        <f>IF($B247&lt;&gt;"",VLOOKUP($B247,Matriz_INM,2,0),0)</f>
        <v>0</v>
      </c>
      <c r="D247" s="44"/>
      <c r="E247" s="44"/>
      <c r="F247" s="44"/>
      <c r="G247" s="44"/>
      <c r="H247" s="45"/>
      <c r="I247" s="156" t="str">
        <f>IFERROR(VLOOKUP($B247,Matriz_INM,3,0),"")</f>
        <v/>
      </c>
      <c r="J247" s="57"/>
      <c r="K247" s="57"/>
      <c r="L247" s="57"/>
      <c r="M247" s="44"/>
      <c r="N247" s="45" t="str">
        <f t="shared" si="18"/>
        <v/>
      </c>
      <c r="O247" s="45" t="str">
        <f t="shared" si="19"/>
        <v/>
      </c>
      <c r="P247" s="149" t="str">
        <f t="shared" si="20"/>
        <v/>
      </c>
      <c r="Q247" s="157">
        <f t="shared" si="21"/>
        <v>0</v>
      </c>
      <c r="R247" s="157">
        <f t="shared" si="22"/>
        <v>0</v>
      </c>
      <c r="S247" s="149">
        <f t="shared" si="23"/>
        <v>0</v>
      </c>
      <c r="T247" s="44"/>
    </row>
    <row r="248" spans="1:20" s="46" customFormat="1" ht="14.25" customHeight="1">
      <c r="A248" s="38"/>
      <c r="B248" s="56"/>
      <c r="C248" s="155">
        <f>IF($B248&lt;&gt;"",VLOOKUP($B248,Matriz_INM,2,0),0)</f>
        <v>0</v>
      </c>
      <c r="D248" s="44"/>
      <c r="E248" s="44"/>
      <c r="F248" s="44"/>
      <c r="G248" s="44"/>
      <c r="H248" s="45"/>
      <c r="I248" s="156" t="str">
        <f>IFERROR(VLOOKUP($B248,Matriz_INM,3,0),"")</f>
        <v/>
      </c>
      <c r="J248" s="57"/>
      <c r="K248" s="57"/>
      <c r="L248" s="57"/>
      <c r="M248" s="44"/>
      <c r="N248" s="45" t="str">
        <f t="shared" si="18"/>
        <v/>
      </c>
      <c r="O248" s="45" t="str">
        <f t="shared" si="19"/>
        <v/>
      </c>
      <c r="P248" s="149" t="str">
        <f t="shared" si="20"/>
        <v/>
      </c>
      <c r="Q248" s="157">
        <f t="shared" si="21"/>
        <v>0</v>
      </c>
      <c r="R248" s="157">
        <f t="shared" si="22"/>
        <v>0</v>
      </c>
      <c r="S248" s="149">
        <f t="shared" si="23"/>
        <v>0</v>
      </c>
      <c r="T248" s="44"/>
    </row>
    <row r="249" spans="1:20" s="46" customFormat="1" ht="14.25" customHeight="1">
      <c r="A249" s="38"/>
      <c r="B249" s="56"/>
      <c r="C249" s="155">
        <f>IF($B249&lt;&gt;"",VLOOKUP($B249,Matriz_INM,2,0),0)</f>
        <v>0</v>
      </c>
      <c r="D249" s="44"/>
      <c r="E249" s="44"/>
      <c r="F249" s="44"/>
      <c r="G249" s="44"/>
      <c r="H249" s="45"/>
      <c r="I249" s="156" t="str">
        <f>IFERROR(VLOOKUP($B249,Matriz_INM,3,0),"")</f>
        <v/>
      </c>
      <c r="J249" s="57"/>
      <c r="K249" s="57"/>
      <c r="L249" s="57"/>
      <c r="M249" s="44"/>
      <c r="N249" s="45" t="str">
        <f t="shared" si="18"/>
        <v/>
      </c>
      <c r="O249" s="45" t="str">
        <f t="shared" si="19"/>
        <v/>
      </c>
      <c r="P249" s="149" t="str">
        <f t="shared" si="20"/>
        <v/>
      </c>
      <c r="Q249" s="157">
        <f t="shared" si="21"/>
        <v>0</v>
      </c>
      <c r="R249" s="157">
        <f t="shared" si="22"/>
        <v>0</v>
      </c>
      <c r="S249" s="149">
        <f t="shared" si="23"/>
        <v>0</v>
      </c>
      <c r="T249" s="44"/>
    </row>
    <row r="250" spans="1:20" s="46" customFormat="1" ht="14.25" customHeight="1">
      <c r="A250" s="38"/>
      <c r="B250" s="56"/>
      <c r="C250" s="155">
        <f>IF($B250&lt;&gt;"",VLOOKUP($B250,Matriz_INM,2,0),0)</f>
        <v>0</v>
      </c>
      <c r="D250" s="44"/>
      <c r="E250" s="44"/>
      <c r="F250" s="44"/>
      <c r="G250" s="44"/>
      <c r="H250" s="45"/>
      <c r="I250" s="156" t="str">
        <f>IFERROR(VLOOKUP($B250,Matriz_INM,3,0),"")</f>
        <v/>
      </c>
      <c r="J250" s="57"/>
      <c r="K250" s="57"/>
      <c r="L250" s="57"/>
      <c r="M250" s="44"/>
      <c r="N250" s="45" t="str">
        <f t="shared" si="18"/>
        <v/>
      </c>
      <c r="O250" s="45" t="str">
        <f t="shared" si="19"/>
        <v/>
      </c>
      <c r="P250" s="149" t="str">
        <f t="shared" si="20"/>
        <v/>
      </c>
      <c r="Q250" s="157">
        <f t="shared" si="21"/>
        <v>0</v>
      </c>
      <c r="R250" s="157">
        <f t="shared" si="22"/>
        <v>0</v>
      </c>
      <c r="S250" s="149">
        <f t="shared" si="23"/>
        <v>0</v>
      </c>
      <c r="T250" s="44"/>
    </row>
    <row r="251" spans="1:20" s="46" customFormat="1" ht="14.25" customHeight="1">
      <c r="A251" s="38"/>
      <c r="B251" s="56"/>
      <c r="C251" s="155">
        <f>IF($B251&lt;&gt;"",VLOOKUP($B251,Matriz_INM,2,0),0)</f>
        <v>0</v>
      </c>
      <c r="D251" s="44"/>
      <c r="E251" s="44"/>
      <c r="F251" s="44"/>
      <c r="G251" s="44"/>
      <c r="H251" s="45"/>
      <c r="I251" s="156" t="str">
        <f>IFERROR(VLOOKUP($B251,Matriz_INM,3,0),"")</f>
        <v/>
      </c>
      <c r="J251" s="57"/>
      <c r="K251" s="57"/>
      <c r="L251" s="57"/>
      <c r="M251" s="44"/>
      <c r="N251" s="45" t="str">
        <f t="shared" si="18"/>
        <v/>
      </c>
      <c r="O251" s="45" t="str">
        <f t="shared" si="19"/>
        <v/>
      </c>
      <c r="P251" s="149" t="str">
        <f t="shared" si="20"/>
        <v/>
      </c>
      <c r="Q251" s="157">
        <f t="shared" si="21"/>
        <v>0</v>
      </c>
      <c r="R251" s="157">
        <f t="shared" si="22"/>
        <v>0</v>
      </c>
      <c r="S251" s="149">
        <f t="shared" si="23"/>
        <v>0</v>
      </c>
      <c r="T251" s="44"/>
    </row>
    <row r="252" spans="1:20" s="46" customFormat="1" ht="14.25" customHeight="1">
      <c r="A252" s="38"/>
      <c r="B252" s="56"/>
      <c r="C252" s="155">
        <f>IF($B252&lt;&gt;"",VLOOKUP($B252,Matriz_INM,2,0),0)</f>
        <v>0</v>
      </c>
      <c r="D252" s="44"/>
      <c r="E252" s="44"/>
      <c r="F252" s="44"/>
      <c r="G252" s="44"/>
      <c r="H252" s="45"/>
      <c r="I252" s="156" t="str">
        <f>IFERROR(VLOOKUP($B252,Matriz_INM,3,0),"")</f>
        <v/>
      </c>
      <c r="J252" s="57"/>
      <c r="K252" s="57"/>
      <c r="L252" s="57"/>
      <c r="M252" s="44"/>
      <c r="N252" s="45" t="str">
        <f t="shared" si="18"/>
        <v/>
      </c>
      <c r="O252" s="45" t="str">
        <f t="shared" si="19"/>
        <v/>
      </c>
      <c r="P252" s="149" t="str">
        <f t="shared" si="20"/>
        <v/>
      </c>
      <c r="Q252" s="157">
        <f t="shared" si="21"/>
        <v>0</v>
      </c>
      <c r="R252" s="157">
        <f t="shared" si="22"/>
        <v>0</v>
      </c>
      <c r="S252" s="149">
        <f t="shared" si="23"/>
        <v>0</v>
      </c>
      <c r="T252" s="44"/>
    </row>
    <row r="253" spans="1:20" s="46" customFormat="1" ht="14.25" customHeight="1">
      <c r="A253" s="38"/>
      <c r="B253" s="56"/>
      <c r="C253" s="155">
        <f>IF($B253&lt;&gt;"",VLOOKUP($B253,Matriz_INM,2,0),0)</f>
        <v>0</v>
      </c>
      <c r="D253" s="44"/>
      <c r="E253" s="44"/>
      <c r="F253" s="44"/>
      <c r="G253" s="44"/>
      <c r="H253" s="45"/>
      <c r="I253" s="156" t="str">
        <f>IFERROR(VLOOKUP($B253,Matriz_INM,3,0),"")</f>
        <v/>
      </c>
      <c r="J253" s="57"/>
      <c r="K253" s="57"/>
      <c r="L253" s="57"/>
      <c r="M253" s="44"/>
      <c r="N253" s="45" t="str">
        <f t="shared" si="18"/>
        <v/>
      </c>
      <c r="O253" s="45" t="str">
        <f t="shared" si="19"/>
        <v/>
      </c>
      <c r="P253" s="149" t="str">
        <f t="shared" si="20"/>
        <v/>
      </c>
      <c r="Q253" s="157">
        <f t="shared" si="21"/>
        <v>0</v>
      </c>
      <c r="R253" s="157">
        <f t="shared" si="22"/>
        <v>0</v>
      </c>
      <c r="S253" s="149">
        <f t="shared" si="23"/>
        <v>0</v>
      </c>
      <c r="T253" s="44"/>
    </row>
    <row r="254" spans="1:20" s="46" customFormat="1" ht="14.25" customHeight="1">
      <c r="A254" s="38"/>
      <c r="B254" s="56"/>
      <c r="C254" s="155">
        <f>IF($B254&lt;&gt;"",VLOOKUP($B254,Matriz_INM,2,0),0)</f>
        <v>0</v>
      </c>
      <c r="D254" s="44"/>
      <c r="E254" s="44"/>
      <c r="F254" s="44"/>
      <c r="G254" s="44"/>
      <c r="H254" s="45"/>
      <c r="I254" s="156" t="str">
        <f>IFERROR(VLOOKUP($B254,Matriz_INM,3,0),"")</f>
        <v/>
      </c>
      <c r="J254" s="57"/>
      <c r="K254" s="57"/>
      <c r="L254" s="57"/>
      <c r="M254" s="44"/>
      <c r="N254" s="45" t="str">
        <f t="shared" si="18"/>
        <v/>
      </c>
      <c r="O254" s="45" t="str">
        <f t="shared" si="19"/>
        <v/>
      </c>
      <c r="P254" s="149" t="str">
        <f t="shared" si="20"/>
        <v/>
      </c>
      <c r="Q254" s="157">
        <f t="shared" si="21"/>
        <v>0</v>
      </c>
      <c r="R254" s="157">
        <f t="shared" si="22"/>
        <v>0</v>
      </c>
      <c r="S254" s="149">
        <f t="shared" si="23"/>
        <v>0</v>
      </c>
      <c r="T254" s="44"/>
    </row>
    <row r="255" spans="1:20" s="46" customFormat="1" ht="14.25" customHeight="1">
      <c r="A255" s="38"/>
      <c r="B255" s="56"/>
      <c r="C255" s="155">
        <f>IF($B255&lt;&gt;"",VLOOKUP($B255,Matriz_INM,2,0),0)</f>
        <v>0</v>
      </c>
      <c r="D255" s="44"/>
      <c r="E255" s="44"/>
      <c r="F255" s="44"/>
      <c r="G255" s="44"/>
      <c r="H255" s="45"/>
      <c r="I255" s="156" t="str">
        <f>IFERROR(VLOOKUP($B255,Matriz_INM,3,0),"")</f>
        <v/>
      </c>
      <c r="J255" s="57"/>
      <c r="K255" s="57"/>
      <c r="L255" s="57"/>
      <c r="M255" s="44"/>
      <c r="N255" s="45" t="str">
        <f t="shared" si="18"/>
        <v/>
      </c>
      <c r="O255" s="45" t="str">
        <f t="shared" si="19"/>
        <v/>
      </c>
      <c r="P255" s="149" t="str">
        <f t="shared" si="20"/>
        <v/>
      </c>
      <c r="Q255" s="157">
        <f t="shared" si="21"/>
        <v>0</v>
      </c>
      <c r="R255" s="157">
        <f t="shared" si="22"/>
        <v>0</v>
      </c>
      <c r="S255" s="149">
        <f t="shared" si="23"/>
        <v>0</v>
      </c>
      <c r="T255" s="44"/>
    </row>
    <row r="256" spans="1:20" s="46" customFormat="1" ht="14.25" customHeight="1">
      <c r="A256" s="38"/>
      <c r="B256" s="56"/>
      <c r="C256" s="155">
        <f>IF($B256&lt;&gt;"",VLOOKUP($B256,Matriz_INM,2,0),0)</f>
        <v>0</v>
      </c>
      <c r="D256" s="44"/>
      <c r="E256" s="44"/>
      <c r="F256" s="44"/>
      <c r="G256" s="44"/>
      <c r="H256" s="45"/>
      <c r="I256" s="156" t="str">
        <f>IFERROR(VLOOKUP($B256,Matriz_INM,3,0),"")</f>
        <v/>
      </c>
      <c r="J256" s="57"/>
      <c r="K256" s="57"/>
      <c r="L256" s="57"/>
      <c r="M256" s="44"/>
      <c r="N256" s="45" t="str">
        <f t="shared" si="18"/>
        <v/>
      </c>
      <c r="O256" s="45" t="str">
        <f t="shared" si="19"/>
        <v/>
      </c>
      <c r="P256" s="149" t="str">
        <f t="shared" si="20"/>
        <v/>
      </c>
      <c r="Q256" s="157">
        <f t="shared" si="21"/>
        <v>0</v>
      </c>
      <c r="R256" s="157">
        <f t="shared" si="22"/>
        <v>0</v>
      </c>
      <c r="S256" s="149">
        <f t="shared" si="23"/>
        <v>0</v>
      </c>
      <c r="T256" s="44"/>
    </row>
    <row r="257" spans="1:20" s="46" customFormat="1" ht="14.25" customHeight="1">
      <c r="A257" s="38"/>
      <c r="B257" s="56"/>
      <c r="C257" s="155">
        <f>IF($B257&lt;&gt;"",VLOOKUP($B257,Matriz_INM,2,0),0)</f>
        <v>0</v>
      </c>
      <c r="D257" s="44"/>
      <c r="E257" s="44"/>
      <c r="F257" s="44"/>
      <c r="G257" s="44"/>
      <c r="H257" s="45"/>
      <c r="I257" s="156" t="str">
        <f>IFERROR(VLOOKUP($B257,Matriz_INM,3,0),"")</f>
        <v/>
      </c>
      <c r="J257" s="57"/>
      <c r="K257" s="57"/>
      <c r="L257" s="57"/>
      <c r="M257" s="44"/>
      <c r="N257" s="45" t="str">
        <f t="shared" si="18"/>
        <v/>
      </c>
      <c r="O257" s="45" t="str">
        <f t="shared" si="19"/>
        <v/>
      </c>
      <c r="P257" s="149" t="str">
        <f t="shared" si="20"/>
        <v/>
      </c>
      <c r="Q257" s="157">
        <f t="shared" si="21"/>
        <v>0</v>
      </c>
      <c r="R257" s="157">
        <f t="shared" si="22"/>
        <v>0</v>
      </c>
      <c r="S257" s="149">
        <f t="shared" si="23"/>
        <v>0</v>
      </c>
      <c r="T257" s="44"/>
    </row>
    <row r="258" spans="1:20" s="46" customFormat="1" ht="14.25" customHeight="1">
      <c r="A258" s="38"/>
      <c r="B258" s="56"/>
      <c r="C258" s="155">
        <f>IF($B258&lt;&gt;"",VLOOKUP($B258,Matriz_INM,2,0),0)</f>
        <v>0</v>
      </c>
      <c r="D258" s="44"/>
      <c r="E258" s="44"/>
      <c r="F258" s="44"/>
      <c r="G258" s="44"/>
      <c r="H258" s="45"/>
      <c r="I258" s="156" t="str">
        <f>IFERROR(VLOOKUP($B258,Matriz_INM,3,0),"")</f>
        <v/>
      </c>
      <c r="J258" s="57"/>
      <c r="K258" s="57"/>
      <c r="L258" s="57"/>
      <c r="M258" s="44"/>
      <c r="N258" s="45" t="str">
        <f t="shared" si="18"/>
        <v/>
      </c>
      <c r="O258" s="45" t="str">
        <f t="shared" si="19"/>
        <v/>
      </c>
      <c r="P258" s="149" t="str">
        <f t="shared" si="20"/>
        <v/>
      </c>
      <c r="Q258" s="157">
        <f t="shared" si="21"/>
        <v>0</v>
      </c>
      <c r="R258" s="157">
        <f t="shared" si="22"/>
        <v>0</v>
      </c>
      <c r="S258" s="149">
        <f t="shared" si="23"/>
        <v>0</v>
      </c>
      <c r="T258" s="44"/>
    </row>
    <row r="259" spans="1:20" s="46" customFormat="1" ht="14.25" customHeight="1">
      <c r="A259" s="38"/>
      <c r="B259" s="56"/>
      <c r="C259" s="155">
        <f>IF($B259&lt;&gt;"",VLOOKUP($B259,Matriz_INM,2,0),0)</f>
        <v>0</v>
      </c>
      <c r="D259" s="44"/>
      <c r="E259" s="44"/>
      <c r="F259" s="44"/>
      <c r="G259" s="44"/>
      <c r="H259" s="45"/>
      <c r="I259" s="156" t="str">
        <f>IFERROR(VLOOKUP($B259,Matriz_INM,3,0),"")</f>
        <v/>
      </c>
      <c r="J259" s="57"/>
      <c r="K259" s="57"/>
      <c r="L259" s="57"/>
      <c r="M259" s="44"/>
      <c r="N259" s="45" t="str">
        <f t="shared" si="18"/>
        <v/>
      </c>
      <c r="O259" s="45" t="str">
        <f t="shared" si="19"/>
        <v/>
      </c>
      <c r="P259" s="149" t="str">
        <f t="shared" si="20"/>
        <v/>
      </c>
      <c r="Q259" s="157">
        <f t="shared" si="21"/>
        <v>0</v>
      </c>
      <c r="R259" s="157">
        <f t="shared" si="22"/>
        <v>0</v>
      </c>
      <c r="S259" s="149">
        <f t="shared" si="23"/>
        <v>0</v>
      </c>
      <c r="T259" s="44"/>
    </row>
    <row r="260" spans="1:20" s="46" customFormat="1" ht="14.25" customHeight="1">
      <c r="A260" s="38"/>
      <c r="B260" s="56"/>
      <c r="C260" s="155">
        <f>IF($B260&lt;&gt;"",VLOOKUP($B260,Matriz_INM,2,0),0)</f>
        <v>0</v>
      </c>
      <c r="D260" s="44"/>
      <c r="E260" s="44"/>
      <c r="F260" s="44"/>
      <c r="G260" s="44"/>
      <c r="H260" s="45"/>
      <c r="I260" s="156" t="str">
        <f>IFERROR(VLOOKUP($B260,Matriz_INM,3,0),"")</f>
        <v/>
      </c>
      <c r="J260" s="57"/>
      <c r="K260" s="57"/>
      <c r="L260" s="57"/>
      <c r="M260" s="44"/>
      <c r="N260" s="45" t="str">
        <f t="shared" si="18"/>
        <v/>
      </c>
      <c r="O260" s="45" t="str">
        <f t="shared" si="19"/>
        <v/>
      </c>
      <c r="P260" s="149" t="str">
        <f t="shared" si="20"/>
        <v/>
      </c>
      <c r="Q260" s="157">
        <f t="shared" si="21"/>
        <v>0</v>
      </c>
      <c r="R260" s="157">
        <f t="shared" si="22"/>
        <v>0</v>
      </c>
      <c r="S260" s="149">
        <f t="shared" si="23"/>
        <v>0</v>
      </c>
      <c r="T260" s="44"/>
    </row>
    <row r="261" spans="1:20" s="46" customFormat="1" ht="14.25" customHeight="1">
      <c r="A261" s="38"/>
      <c r="B261" s="56"/>
      <c r="C261" s="155">
        <f>IF($B261&lt;&gt;"",VLOOKUP($B261,Matriz_INM,2,0),0)</f>
        <v>0</v>
      </c>
      <c r="D261" s="44"/>
      <c r="E261" s="44"/>
      <c r="F261" s="44"/>
      <c r="G261" s="44"/>
      <c r="H261" s="45"/>
      <c r="I261" s="156" t="str">
        <f>IFERROR(VLOOKUP($B261,Matriz_INM,3,0),"")</f>
        <v/>
      </c>
      <c r="J261" s="57"/>
      <c r="K261" s="57"/>
      <c r="L261" s="57"/>
      <c r="M261" s="44"/>
      <c r="N261" s="45" t="str">
        <f t="shared" si="18"/>
        <v/>
      </c>
      <c r="O261" s="45" t="str">
        <f t="shared" si="19"/>
        <v/>
      </c>
      <c r="P261" s="149" t="str">
        <f t="shared" si="20"/>
        <v/>
      </c>
      <c r="Q261" s="157">
        <f t="shared" si="21"/>
        <v>0</v>
      </c>
      <c r="R261" s="157">
        <f t="shared" si="22"/>
        <v>0</v>
      </c>
      <c r="S261" s="149">
        <f t="shared" si="23"/>
        <v>0</v>
      </c>
      <c r="T261" s="44"/>
    </row>
    <row r="262" spans="1:20" s="46" customFormat="1" ht="14.25" customHeight="1">
      <c r="A262" s="38"/>
      <c r="B262" s="56"/>
      <c r="C262" s="155">
        <f>IF($B262&lt;&gt;"",VLOOKUP($B262,Matriz_INM,2,0),0)</f>
        <v>0</v>
      </c>
      <c r="D262" s="44"/>
      <c r="E262" s="44"/>
      <c r="F262" s="44"/>
      <c r="G262" s="44"/>
      <c r="H262" s="45"/>
      <c r="I262" s="156" t="str">
        <f>IFERROR(VLOOKUP($B262,Matriz_INM,3,0),"")</f>
        <v/>
      </c>
      <c r="J262" s="57"/>
      <c r="K262" s="57"/>
      <c r="L262" s="57"/>
      <c r="M262" s="44"/>
      <c r="N262" s="45" t="str">
        <f t="shared" si="18"/>
        <v/>
      </c>
      <c r="O262" s="45" t="str">
        <f t="shared" si="19"/>
        <v/>
      </c>
      <c r="P262" s="149" t="str">
        <f t="shared" si="20"/>
        <v/>
      </c>
      <c r="Q262" s="157">
        <f t="shared" si="21"/>
        <v>0</v>
      </c>
      <c r="R262" s="157">
        <f t="shared" si="22"/>
        <v>0</v>
      </c>
      <c r="S262" s="149">
        <f t="shared" si="23"/>
        <v>0</v>
      </c>
      <c r="T262" s="44"/>
    </row>
    <row r="263" spans="1:20" s="46" customFormat="1" ht="14.25" customHeight="1">
      <c r="A263" s="38"/>
      <c r="B263" s="56"/>
      <c r="C263" s="155">
        <f>IF($B263&lt;&gt;"",VLOOKUP($B263,Matriz_INM,2,0),0)</f>
        <v>0</v>
      </c>
      <c r="D263" s="44"/>
      <c r="E263" s="44"/>
      <c r="F263" s="44"/>
      <c r="G263" s="44"/>
      <c r="H263" s="45"/>
      <c r="I263" s="156" t="str">
        <f>IFERROR(VLOOKUP($B263,Matriz_INM,3,0),"")</f>
        <v/>
      </c>
      <c r="J263" s="57"/>
      <c r="K263" s="57"/>
      <c r="L263" s="57"/>
      <c r="M263" s="44"/>
      <c r="N263" s="45" t="str">
        <f t="shared" si="18"/>
        <v/>
      </c>
      <c r="O263" s="45" t="str">
        <f t="shared" si="19"/>
        <v/>
      </c>
      <c r="P263" s="149" t="str">
        <f t="shared" si="20"/>
        <v/>
      </c>
      <c r="Q263" s="157">
        <f t="shared" si="21"/>
        <v>0</v>
      </c>
      <c r="R263" s="157">
        <f t="shared" si="22"/>
        <v>0</v>
      </c>
      <c r="S263" s="149">
        <f t="shared" si="23"/>
        <v>0</v>
      </c>
      <c r="T263" s="44"/>
    </row>
    <row r="264" spans="1:20" s="46" customFormat="1" ht="14.25" customHeight="1">
      <c r="A264" s="38"/>
      <c r="B264" s="56"/>
      <c r="C264" s="155">
        <f>IF($B264&lt;&gt;"",VLOOKUP($B264,Matriz_INM,2,0),0)</f>
        <v>0</v>
      </c>
      <c r="D264" s="44"/>
      <c r="E264" s="44"/>
      <c r="F264" s="44"/>
      <c r="G264" s="44"/>
      <c r="H264" s="45"/>
      <c r="I264" s="156" t="str">
        <f>IFERROR(VLOOKUP($B264,Matriz_INM,3,0),"")</f>
        <v/>
      </c>
      <c r="J264" s="57"/>
      <c r="K264" s="57"/>
      <c r="L264" s="57"/>
      <c r="M264" s="44"/>
      <c r="N264" s="45" t="str">
        <f t="shared" si="18"/>
        <v/>
      </c>
      <c r="O264" s="45" t="str">
        <f t="shared" si="19"/>
        <v/>
      </c>
      <c r="P264" s="149" t="str">
        <f t="shared" si="20"/>
        <v/>
      </c>
      <c r="Q264" s="157">
        <f t="shared" si="21"/>
        <v>0</v>
      </c>
      <c r="R264" s="157">
        <f t="shared" si="22"/>
        <v>0</v>
      </c>
      <c r="S264" s="149">
        <f t="shared" si="23"/>
        <v>0</v>
      </c>
      <c r="T264" s="44"/>
    </row>
    <row r="265" spans="1:20" s="46" customFormat="1" ht="14.25" customHeight="1">
      <c r="A265" s="38"/>
      <c r="B265" s="56"/>
      <c r="C265" s="155">
        <f>IF($B265&lt;&gt;"",VLOOKUP($B265,Matriz_INM,2,0),0)</f>
        <v>0</v>
      </c>
      <c r="D265" s="44"/>
      <c r="E265" s="44"/>
      <c r="F265" s="44"/>
      <c r="G265" s="44"/>
      <c r="H265" s="45"/>
      <c r="I265" s="156" t="str">
        <f>IFERROR(VLOOKUP($B265,Matriz_INM,3,0),"")</f>
        <v/>
      </c>
      <c r="J265" s="57"/>
      <c r="K265" s="57"/>
      <c r="L265" s="57"/>
      <c r="M265" s="44"/>
      <c r="N265" s="45" t="str">
        <f t="shared" si="18"/>
        <v/>
      </c>
      <c r="O265" s="45" t="str">
        <f t="shared" si="19"/>
        <v/>
      </c>
      <c r="P265" s="149" t="str">
        <f t="shared" si="20"/>
        <v/>
      </c>
      <c r="Q265" s="157">
        <f t="shared" si="21"/>
        <v>0</v>
      </c>
      <c r="R265" s="157">
        <f t="shared" si="22"/>
        <v>0</v>
      </c>
      <c r="S265" s="149">
        <f t="shared" si="23"/>
        <v>0</v>
      </c>
      <c r="T265" s="44"/>
    </row>
    <row r="266" spans="1:20" s="46" customFormat="1" ht="14.25" customHeight="1">
      <c r="A266" s="38"/>
      <c r="B266" s="56"/>
      <c r="C266" s="155">
        <f>IF($B266&lt;&gt;"",VLOOKUP($B266,Matriz_INM,2,0),0)</f>
        <v>0</v>
      </c>
      <c r="D266" s="44"/>
      <c r="E266" s="44"/>
      <c r="F266" s="44"/>
      <c r="G266" s="44"/>
      <c r="H266" s="45"/>
      <c r="I266" s="156" t="str">
        <f>IFERROR(VLOOKUP($B266,Matriz_INM,3,0),"")</f>
        <v/>
      </c>
      <c r="J266" s="57"/>
      <c r="K266" s="57"/>
      <c r="L266" s="57"/>
      <c r="M266" s="44"/>
      <c r="N266" s="45" t="str">
        <f t="shared" si="18"/>
        <v/>
      </c>
      <c r="O266" s="45" t="str">
        <f t="shared" si="19"/>
        <v/>
      </c>
      <c r="P266" s="149" t="str">
        <f t="shared" si="20"/>
        <v/>
      </c>
      <c r="Q266" s="157">
        <f t="shared" si="21"/>
        <v>0</v>
      </c>
      <c r="R266" s="157">
        <f t="shared" si="22"/>
        <v>0</v>
      </c>
      <c r="S266" s="149">
        <f t="shared" si="23"/>
        <v>0</v>
      </c>
      <c r="T266" s="44"/>
    </row>
    <row r="267" spans="1:20" s="46" customFormat="1" ht="14.25" customHeight="1">
      <c r="A267" s="38"/>
      <c r="B267" s="56"/>
      <c r="C267" s="155">
        <f>IF($B267&lt;&gt;"",VLOOKUP($B267,Matriz_INM,2,0),0)</f>
        <v>0</v>
      </c>
      <c r="D267" s="44"/>
      <c r="E267" s="44"/>
      <c r="F267" s="44"/>
      <c r="G267" s="44"/>
      <c r="H267" s="45"/>
      <c r="I267" s="156" t="str">
        <f>IFERROR(VLOOKUP($B267,Matriz_INM,3,0),"")</f>
        <v/>
      </c>
      <c r="J267" s="57"/>
      <c r="K267" s="57"/>
      <c r="L267" s="57"/>
      <c r="M267" s="44"/>
      <c r="N267" s="45" t="str">
        <f t="shared" ref="N267:N330" si="24">IF(M267="EE",IF(OR(AND(OR(L267=1,L267=0),K267&gt;0,K267&lt;5),AND(OR(L267=1,L267=0),K267&gt;4,K267&lt;16),AND(L267=2,K267&gt;0,K267&lt;5)),"Simples",IF(OR(AND(OR(L267=1,L267=0),K267&gt;15),AND(L267=2,K267&gt;4,K267&lt;16),AND(L267&gt;2,K267&gt;0,K267&lt;5)),"Médio",IF(OR(AND(L267=2,K267&gt;15),AND(L267&gt;2,K267&gt;4,K267&lt;16),AND(L267&gt;2,K267&gt;15)),"Complexo",""))),
IF(OR(M267="CE",M267="SE"),IF(OR(AND(OR(L267=1,L267=0),K267&gt;0,K267&lt;6),AND(OR(L267=1,L267=0),K267&gt;5,K267&lt;20),AND(L267&gt;1,L267&lt;4,K267&gt;0,K267&lt;6)),"Simples",IF(OR(AND(OR(L267=1,L267=0),K267&gt;19),AND(L267&gt;1,L267&lt;4,K267&gt;5,K267&lt;20),AND(L267&gt;3,K267&gt;0,K267&lt;6)),"Médio",IF(OR(AND(L267&gt;1,L267&lt;4,K267&gt;19),AND(L267&gt;3,K267&gt;5,K267&lt;20),AND(L267&gt;3,K267&gt;19)),"Complexo",""))),""))</f>
        <v/>
      </c>
      <c r="O267" s="45" t="str">
        <f t="shared" ref="O267:O330" si="25">IF(M267="ALI",IF(OR(AND(OR(L267=1,L267=0),K267&gt;0,K267&lt;20),AND(OR(L267=1,L267=0),K267&gt;19,K267&lt;51),AND(L267&gt;1,L267&lt;6,K267&gt;0,K267&lt;20)),"Simples",IF(OR(AND(OR(L267=1,L267=0),K267&gt;50),AND(L267&gt;1,L267&lt;6,K267&gt;19,K267&lt;51),AND(L267&gt;5,K267&gt;0,K267&lt;20)),"Médio",IF(OR(AND(L267&gt;1,L267&lt;6,K267&gt;50),AND(L267&gt;5,K267&gt;19,K267&lt;51),AND(L267&gt;5,K267&gt;50)),"Complexo",""))),
IF(M267="AIE",IF(OR(AND(OR(L267=1, L267=0),K267&gt;0,K267&lt;20),AND(OR(L267=1, L267=0),K267&gt;19,K267&lt;51),AND(L267&gt;1,L267&lt;6,K267&gt;0,K267&lt;20)),"Simples",IF(OR(AND(OR(L267=1, L267=0),K267&gt;50),AND(L267&gt;1,L267&lt;6,K267&gt;19,K267&lt;51),AND(L267&gt;5,K267&gt;0,K267&lt;20)),"Médio",IF(OR(AND(L267&gt;1,L267&lt;6,K267&gt;50),AND(L267&gt;5,K267&gt;19,K267&lt;51),AND(L267&gt;5,K267&gt;50)),"Complexo",""))),""))</f>
        <v/>
      </c>
      <c r="P267" s="149" t="str">
        <f t="shared" ref="P267:P330" si="26">IF(N267="",O267,IF(O267="",N267,""))</f>
        <v/>
      </c>
      <c r="Q267" s="157">
        <f t="shared" ref="Q267:Q330" si="27">IF(AND(OR(M267="EE",M267="CE"),P267="Simples"),3,
IF(AND(OR(M267="EE",M267="CE"),P267="Médio"),4,
IF(AND(OR(M267="EE",M267="CE"),P267="Complexo"),6,
IF(AND(M267="SE",P267="Simples"),4,
IF(AND(M267="SE",P267="Médio"),5,
IF(AND(M267="SE",P267="Complexo"),7,0))))))</f>
        <v>0</v>
      </c>
      <c r="R267" s="157">
        <f t="shared" ref="R267:R330" si="28">IF(AND(M267="ALI",O267="Simples"),7,
IF(AND(M267="ALI",O267="Médio"),10,
IF(AND(M267="ALI",O267="Complexo"),15,
IF(AND(M267="AIE",O267="Simples"),5,
IF(AND(M267="AIE",O267="Médio"),7,
IF(AND(M267="AIE",O267="Complexo"),10,0))))))</f>
        <v>0</v>
      </c>
      <c r="S267" s="149">
        <f t="shared" si="23"/>
        <v>0</v>
      </c>
      <c r="T267" s="44"/>
    </row>
    <row r="268" spans="1:20" s="46" customFormat="1" ht="14.25" customHeight="1">
      <c r="A268" s="38"/>
      <c r="B268" s="56"/>
      <c r="C268" s="155">
        <f>IF($B268&lt;&gt;"",VLOOKUP($B268,Matriz_INM,2,0),0)</f>
        <v>0</v>
      </c>
      <c r="D268" s="44"/>
      <c r="E268" s="44"/>
      <c r="F268" s="44"/>
      <c r="G268" s="44"/>
      <c r="H268" s="45"/>
      <c r="I268" s="156" t="str">
        <f>IFERROR(VLOOKUP($B268,Matriz_INM,3,0),"")</f>
        <v/>
      </c>
      <c r="J268" s="57"/>
      <c r="K268" s="57"/>
      <c r="L268" s="57"/>
      <c r="M268" s="44"/>
      <c r="N268" s="45" t="str">
        <f t="shared" si="24"/>
        <v/>
      </c>
      <c r="O268" s="45" t="str">
        <f t="shared" si="25"/>
        <v/>
      </c>
      <c r="P268" s="149" t="str">
        <f t="shared" si="26"/>
        <v/>
      </c>
      <c r="Q268" s="157">
        <f t="shared" si="27"/>
        <v>0</v>
      </c>
      <c r="R268" s="157">
        <f t="shared" si="28"/>
        <v>0</v>
      </c>
      <c r="S268" s="149">
        <f t="shared" ref="S268:S331" si="29">IF($I268="%",($Q268+$R268)*$C268,$C268)</f>
        <v>0</v>
      </c>
      <c r="T268" s="44"/>
    </row>
    <row r="269" spans="1:20" s="46" customFormat="1" ht="14.25" customHeight="1">
      <c r="A269" s="38"/>
      <c r="B269" s="56"/>
      <c r="C269" s="155">
        <f>IF($B269&lt;&gt;"",VLOOKUP($B269,Matriz_INM,2,0),0)</f>
        <v>0</v>
      </c>
      <c r="D269" s="44"/>
      <c r="E269" s="44"/>
      <c r="F269" s="44"/>
      <c r="G269" s="44"/>
      <c r="H269" s="45"/>
      <c r="I269" s="156" t="str">
        <f>IFERROR(VLOOKUP($B269,Matriz_INM,3,0),"")</f>
        <v/>
      </c>
      <c r="J269" s="57"/>
      <c r="K269" s="57"/>
      <c r="L269" s="57"/>
      <c r="M269" s="44"/>
      <c r="N269" s="45" t="str">
        <f t="shared" si="24"/>
        <v/>
      </c>
      <c r="O269" s="45" t="str">
        <f t="shared" si="25"/>
        <v/>
      </c>
      <c r="P269" s="149" t="str">
        <f t="shared" si="26"/>
        <v/>
      </c>
      <c r="Q269" s="157">
        <f t="shared" si="27"/>
        <v>0</v>
      </c>
      <c r="R269" s="157">
        <f t="shared" si="28"/>
        <v>0</v>
      </c>
      <c r="S269" s="149">
        <f t="shared" si="29"/>
        <v>0</v>
      </c>
      <c r="T269" s="44"/>
    </row>
    <row r="270" spans="1:20" s="46" customFormat="1" ht="14.25" customHeight="1">
      <c r="A270" s="38"/>
      <c r="B270" s="56"/>
      <c r="C270" s="155">
        <f>IF($B270&lt;&gt;"",VLOOKUP($B270,Matriz_INM,2,0),0)</f>
        <v>0</v>
      </c>
      <c r="D270" s="44"/>
      <c r="E270" s="44"/>
      <c r="F270" s="44"/>
      <c r="G270" s="44"/>
      <c r="H270" s="45"/>
      <c r="I270" s="156" t="str">
        <f>IFERROR(VLOOKUP($B270,Matriz_INM,3,0),"")</f>
        <v/>
      </c>
      <c r="J270" s="57"/>
      <c r="K270" s="57"/>
      <c r="L270" s="57"/>
      <c r="M270" s="44"/>
      <c r="N270" s="45" t="str">
        <f t="shared" si="24"/>
        <v/>
      </c>
      <c r="O270" s="45" t="str">
        <f t="shared" si="25"/>
        <v/>
      </c>
      <c r="P270" s="149" t="str">
        <f t="shared" si="26"/>
        <v/>
      </c>
      <c r="Q270" s="157">
        <f t="shared" si="27"/>
        <v>0</v>
      </c>
      <c r="R270" s="157">
        <f t="shared" si="28"/>
        <v>0</v>
      </c>
      <c r="S270" s="149">
        <f t="shared" si="29"/>
        <v>0</v>
      </c>
      <c r="T270" s="44"/>
    </row>
    <row r="271" spans="1:20" s="46" customFormat="1" ht="14.25" customHeight="1">
      <c r="A271" s="38"/>
      <c r="B271" s="56"/>
      <c r="C271" s="155">
        <f>IF($B271&lt;&gt;"",VLOOKUP($B271,Matriz_INM,2,0),0)</f>
        <v>0</v>
      </c>
      <c r="D271" s="44"/>
      <c r="E271" s="44"/>
      <c r="F271" s="44"/>
      <c r="G271" s="44"/>
      <c r="H271" s="45"/>
      <c r="I271" s="156" t="str">
        <f>IFERROR(VLOOKUP($B271,Matriz_INM,3,0),"")</f>
        <v/>
      </c>
      <c r="J271" s="57"/>
      <c r="K271" s="57"/>
      <c r="L271" s="57"/>
      <c r="M271" s="44"/>
      <c r="N271" s="45" t="str">
        <f t="shared" si="24"/>
        <v/>
      </c>
      <c r="O271" s="45" t="str">
        <f t="shared" si="25"/>
        <v/>
      </c>
      <c r="P271" s="149" t="str">
        <f t="shared" si="26"/>
        <v/>
      </c>
      <c r="Q271" s="157">
        <f t="shared" si="27"/>
        <v>0</v>
      </c>
      <c r="R271" s="157">
        <f t="shared" si="28"/>
        <v>0</v>
      </c>
      <c r="S271" s="149">
        <f t="shared" si="29"/>
        <v>0</v>
      </c>
      <c r="T271" s="44"/>
    </row>
    <row r="272" spans="1:20" s="46" customFormat="1" ht="14.25" customHeight="1">
      <c r="A272" s="38"/>
      <c r="B272" s="56"/>
      <c r="C272" s="155">
        <f>IF($B272&lt;&gt;"",VLOOKUP($B272,Matriz_INM,2,0),0)</f>
        <v>0</v>
      </c>
      <c r="D272" s="44"/>
      <c r="E272" s="44"/>
      <c r="F272" s="44"/>
      <c r="G272" s="44"/>
      <c r="H272" s="45"/>
      <c r="I272" s="156" t="str">
        <f>IFERROR(VLOOKUP($B272,Matriz_INM,3,0),"")</f>
        <v/>
      </c>
      <c r="J272" s="57"/>
      <c r="K272" s="57"/>
      <c r="L272" s="57"/>
      <c r="M272" s="44"/>
      <c r="N272" s="45" t="str">
        <f t="shared" si="24"/>
        <v/>
      </c>
      <c r="O272" s="45" t="str">
        <f t="shared" si="25"/>
        <v/>
      </c>
      <c r="P272" s="149" t="str">
        <f t="shared" si="26"/>
        <v/>
      </c>
      <c r="Q272" s="157">
        <f t="shared" si="27"/>
        <v>0</v>
      </c>
      <c r="R272" s="157">
        <f t="shared" si="28"/>
        <v>0</v>
      </c>
      <c r="S272" s="149">
        <f t="shared" si="29"/>
        <v>0</v>
      </c>
      <c r="T272" s="44"/>
    </row>
    <row r="273" spans="1:20" s="46" customFormat="1" ht="14.25" customHeight="1">
      <c r="A273" s="38"/>
      <c r="B273" s="56"/>
      <c r="C273" s="155">
        <f>IF($B273&lt;&gt;"",VLOOKUP($B273,Matriz_INM,2,0),0)</f>
        <v>0</v>
      </c>
      <c r="D273" s="44"/>
      <c r="E273" s="44"/>
      <c r="F273" s="44"/>
      <c r="G273" s="44"/>
      <c r="H273" s="45"/>
      <c r="I273" s="156" t="str">
        <f>IFERROR(VLOOKUP($B273,Matriz_INM,3,0),"")</f>
        <v/>
      </c>
      <c r="J273" s="57"/>
      <c r="K273" s="57"/>
      <c r="L273" s="57"/>
      <c r="M273" s="44"/>
      <c r="N273" s="45" t="str">
        <f t="shared" si="24"/>
        <v/>
      </c>
      <c r="O273" s="45" t="str">
        <f t="shared" si="25"/>
        <v/>
      </c>
      <c r="P273" s="149" t="str">
        <f t="shared" si="26"/>
        <v/>
      </c>
      <c r="Q273" s="157">
        <f t="shared" si="27"/>
        <v>0</v>
      </c>
      <c r="R273" s="157">
        <f t="shared" si="28"/>
        <v>0</v>
      </c>
      <c r="S273" s="149">
        <f t="shared" si="29"/>
        <v>0</v>
      </c>
      <c r="T273" s="44"/>
    </row>
    <row r="274" spans="1:20" s="46" customFormat="1" ht="14.25" customHeight="1">
      <c r="A274" s="38"/>
      <c r="B274" s="56"/>
      <c r="C274" s="155">
        <f>IF($B274&lt;&gt;"",VLOOKUP($B274,Matriz_INM,2,0),0)</f>
        <v>0</v>
      </c>
      <c r="D274" s="44"/>
      <c r="E274" s="44"/>
      <c r="F274" s="44"/>
      <c r="G274" s="44"/>
      <c r="H274" s="45"/>
      <c r="I274" s="156" t="str">
        <f>IFERROR(VLOOKUP($B274,Matriz_INM,3,0),"")</f>
        <v/>
      </c>
      <c r="J274" s="57"/>
      <c r="K274" s="57"/>
      <c r="L274" s="57"/>
      <c r="M274" s="44"/>
      <c r="N274" s="45" t="str">
        <f t="shared" si="24"/>
        <v/>
      </c>
      <c r="O274" s="45" t="str">
        <f t="shared" si="25"/>
        <v/>
      </c>
      <c r="P274" s="149" t="str">
        <f t="shared" si="26"/>
        <v/>
      </c>
      <c r="Q274" s="157">
        <f t="shared" si="27"/>
        <v>0</v>
      </c>
      <c r="R274" s="157">
        <f t="shared" si="28"/>
        <v>0</v>
      </c>
      <c r="S274" s="149">
        <f t="shared" si="29"/>
        <v>0</v>
      </c>
      <c r="T274" s="44"/>
    </row>
    <row r="275" spans="1:20" s="46" customFormat="1" ht="14.25" customHeight="1">
      <c r="A275" s="38"/>
      <c r="B275" s="56"/>
      <c r="C275" s="155">
        <f>IF($B275&lt;&gt;"",VLOOKUP($B275,Matriz_INM,2,0),0)</f>
        <v>0</v>
      </c>
      <c r="D275" s="44"/>
      <c r="E275" s="44"/>
      <c r="F275" s="44"/>
      <c r="G275" s="44"/>
      <c r="H275" s="45"/>
      <c r="I275" s="156" t="str">
        <f>IFERROR(VLOOKUP($B275,Matriz_INM,3,0),"")</f>
        <v/>
      </c>
      <c r="J275" s="57"/>
      <c r="K275" s="57"/>
      <c r="L275" s="57"/>
      <c r="M275" s="44"/>
      <c r="N275" s="45" t="str">
        <f t="shared" si="24"/>
        <v/>
      </c>
      <c r="O275" s="45" t="str">
        <f t="shared" si="25"/>
        <v/>
      </c>
      <c r="P275" s="149" t="str">
        <f t="shared" si="26"/>
        <v/>
      </c>
      <c r="Q275" s="157">
        <f t="shared" si="27"/>
        <v>0</v>
      </c>
      <c r="R275" s="157">
        <f t="shared" si="28"/>
        <v>0</v>
      </c>
      <c r="S275" s="149">
        <f t="shared" si="29"/>
        <v>0</v>
      </c>
      <c r="T275" s="44"/>
    </row>
    <row r="276" spans="1:20" s="46" customFormat="1" ht="14.25" customHeight="1">
      <c r="A276" s="38"/>
      <c r="B276" s="56"/>
      <c r="C276" s="155">
        <f>IF($B276&lt;&gt;"",VLOOKUP($B276,Matriz_INM,2,0),0)</f>
        <v>0</v>
      </c>
      <c r="D276" s="44"/>
      <c r="E276" s="44"/>
      <c r="F276" s="44"/>
      <c r="G276" s="44"/>
      <c r="H276" s="45"/>
      <c r="I276" s="156" t="str">
        <f>IFERROR(VLOOKUP($B276,Matriz_INM,3,0),"")</f>
        <v/>
      </c>
      <c r="J276" s="57"/>
      <c r="K276" s="57"/>
      <c r="L276" s="57"/>
      <c r="M276" s="44"/>
      <c r="N276" s="45" t="str">
        <f t="shared" si="24"/>
        <v/>
      </c>
      <c r="O276" s="45" t="str">
        <f t="shared" si="25"/>
        <v/>
      </c>
      <c r="P276" s="149" t="str">
        <f t="shared" si="26"/>
        <v/>
      </c>
      <c r="Q276" s="157">
        <f t="shared" si="27"/>
        <v>0</v>
      </c>
      <c r="R276" s="157">
        <f t="shared" si="28"/>
        <v>0</v>
      </c>
      <c r="S276" s="149">
        <f t="shared" si="29"/>
        <v>0</v>
      </c>
      <c r="T276" s="44"/>
    </row>
    <row r="277" spans="1:20" s="46" customFormat="1" ht="14.25" customHeight="1">
      <c r="A277" s="38"/>
      <c r="B277" s="56"/>
      <c r="C277" s="155">
        <f>IF($B277&lt;&gt;"",VLOOKUP($B277,Matriz_INM,2,0),0)</f>
        <v>0</v>
      </c>
      <c r="D277" s="44"/>
      <c r="E277" s="44"/>
      <c r="F277" s="44"/>
      <c r="G277" s="44"/>
      <c r="H277" s="45"/>
      <c r="I277" s="156" t="str">
        <f>IFERROR(VLOOKUP($B277,Matriz_INM,3,0),"")</f>
        <v/>
      </c>
      <c r="J277" s="57"/>
      <c r="K277" s="57"/>
      <c r="L277" s="57"/>
      <c r="M277" s="44"/>
      <c r="N277" s="45" t="str">
        <f t="shared" si="24"/>
        <v/>
      </c>
      <c r="O277" s="45" t="str">
        <f t="shared" si="25"/>
        <v/>
      </c>
      <c r="P277" s="149" t="str">
        <f t="shared" si="26"/>
        <v/>
      </c>
      <c r="Q277" s="157">
        <f t="shared" si="27"/>
        <v>0</v>
      </c>
      <c r="R277" s="157">
        <f t="shared" si="28"/>
        <v>0</v>
      </c>
      <c r="S277" s="149">
        <f t="shared" si="29"/>
        <v>0</v>
      </c>
      <c r="T277" s="44"/>
    </row>
    <row r="278" spans="1:20" s="46" customFormat="1" ht="14.25" customHeight="1">
      <c r="A278" s="38"/>
      <c r="B278" s="56"/>
      <c r="C278" s="155">
        <f>IF($B278&lt;&gt;"",VLOOKUP($B278,Matriz_INM,2,0),0)</f>
        <v>0</v>
      </c>
      <c r="D278" s="44"/>
      <c r="E278" s="44"/>
      <c r="F278" s="44"/>
      <c r="G278" s="44"/>
      <c r="H278" s="45"/>
      <c r="I278" s="156" t="str">
        <f>IFERROR(VLOOKUP($B278,Matriz_INM,3,0),"")</f>
        <v/>
      </c>
      <c r="J278" s="57"/>
      <c r="K278" s="57"/>
      <c r="L278" s="57"/>
      <c r="M278" s="44"/>
      <c r="N278" s="45" t="str">
        <f t="shared" si="24"/>
        <v/>
      </c>
      <c r="O278" s="45" t="str">
        <f t="shared" si="25"/>
        <v/>
      </c>
      <c r="P278" s="149" t="str">
        <f t="shared" si="26"/>
        <v/>
      </c>
      <c r="Q278" s="157">
        <f t="shared" si="27"/>
        <v>0</v>
      </c>
      <c r="R278" s="157">
        <f t="shared" si="28"/>
        <v>0</v>
      </c>
      <c r="S278" s="149">
        <f t="shared" si="29"/>
        <v>0</v>
      </c>
      <c r="T278" s="44"/>
    </row>
    <row r="279" spans="1:20" s="46" customFormat="1" ht="14.25" customHeight="1">
      <c r="A279" s="38"/>
      <c r="B279" s="56"/>
      <c r="C279" s="155">
        <f>IF($B279&lt;&gt;"",VLOOKUP($B279,Matriz_INM,2,0),0)</f>
        <v>0</v>
      </c>
      <c r="D279" s="44"/>
      <c r="E279" s="44"/>
      <c r="F279" s="44"/>
      <c r="G279" s="44"/>
      <c r="H279" s="45"/>
      <c r="I279" s="156" t="str">
        <f>IFERROR(VLOOKUP($B279,Matriz_INM,3,0),"")</f>
        <v/>
      </c>
      <c r="J279" s="57"/>
      <c r="K279" s="57"/>
      <c r="L279" s="57"/>
      <c r="M279" s="44"/>
      <c r="N279" s="45" t="str">
        <f t="shared" si="24"/>
        <v/>
      </c>
      <c r="O279" s="45" t="str">
        <f t="shared" si="25"/>
        <v/>
      </c>
      <c r="P279" s="149" t="str">
        <f t="shared" si="26"/>
        <v/>
      </c>
      <c r="Q279" s="157">
        <f t="shared" si="27"/>
        <v>0</v>
      </c>
      <c r="R279" s="157">
        <f t="shared" si="28"/>
        <v>0</v>
      </c>
      <c r="S279" s="149">
        <f t="shared" si="29"/>
        <v>0</v>
      </c>
      <c r="T279" s="44"/>
    </row>
    <row r="280" spans="1:20" s="46" customFormat="1" ht="14.25" customHeight="1">
      <c r="A280" s="38"/>
      <c r="B280" s="56"/>
      <c r="C280" s="155">
        <f>IF($B280&lt;&gt;"",VLOOKUP($B280,Matriz_INM,2,0),0)</f>
        <v>0</v>
      </c>
      <c r="D280" s="44"/>
      <c r="E280" s="44"/>
      <c r="F280" s="44"/>
      <c r="G280" s="44"/>
      <c r="H280" s="45"/>
      <c r="I280" s="156" t="str">
        <f>IFERROR(VLOOKUP($B280,Matriz_INM,3,0),"")</f>
        <v/>
      </c>
      <c r="J280" s="57"/>
      <c r="K280" s="57"/>
      <c r="L280" s="57"/>
      <c r="M280" s="44"/>
      <c r="N280" s="45" t="str">
        <f t="shared" si="24"/>
        <v/>
      </c>
      <c r="O280" s="45" t="str">
        <f t="shared" si="25"/>
        <v/>
      </c>
      <c r="P280" s="149" t="str">
        <f t="shared" si="26"/>
        <v/>
      </c>
      <c r="Q280" s="157">
        <f t="shared" si="27"/>
        <v>0</v>
      </c>
      <c r="R280" s="157">
        <f t="shared" si="28"/>
        <v>0</v>
      </c>
      <c r="S280" s="149">
        <f t="shared" si="29"/>
        <v>0</v>
      </c>
      <c r="T280" s="44"/>
    </row>
    <row r="281" spans="1:20" s="46" customFormat="1" ht="14.25" customHeight="1">
      <c r="A281" s="38"/>
      <c r="B281" s="56"/>
      <c r="C281" s="155">
        <f>IF($B281&lt;&gt;"",VLOOKUP($B281,Matriz_INM,2,0),0)</f>
        <v>0</v>
      </c>
      <c r="D281" s="44"/>
      <c r="E281" s="44"/>
      <c r="F281" s="44"/>
      <c r="G281" s="44"/>
      <c r="H281" s="45"/>
      <c r="I281" s="156" t="str">
        <f>IFERROR(VLOOKUP($B281,Matriz_INM,3,0),"")</f>
        <v/>
      </c>
      <c r="J281" s="57"/>
      <c r="K281" s="57"/>
      <c r="L281" s="57"/>
      <c r="M281" s="44"/>
      <c r="N281" s="45" t="str">
        <f t="shared" si="24"/>
        <v/>
      </c>
      <c r="O281" s="45" t="str">
        <f t="shared" si="25"/>
        <v/>
      </c>
      <c r="P281" s="149" t="str">
        <f t="shared" si="26"/>
        <v/>
      </c>
      <c r="Q281" s="157">
        <f t="shared" si="27"/>
        <v>0</v>
      </c>
      <c r="R281" s="157">
        <f t="shared" si="28"/>
        <v>0</v>
      </c>
      <c r="S281" s="149">
        <f t="shared" si="29"/>
        <v>0</v>
      </c>
      <c r="T281" s="44"/>
    </row>
    <row r="282" spans="1:20" s="46" customFormat="1" ht="14.25" customHeight="1">
      <c r="A282" s="38"/>
      <c r="B282" s="56"/>
      <c r="C282" s="155">
        <f>IF($B282&lt;&gt;"",VLOOKUP($B282,Matriz_INM,2,0),0)</f>
        <v>0</v>
      </c>
      <c r="D282" s="44"/>
      <c r="E282" s="44"/>
      <c r="F282" s="44"/>
      <c r="G282" s="44"/>
      <c r="H282" s="45"/>
      <c r="I282" s="156" t="str">
        <f>IFERROR(VLOOKUP($B282,Matriz_INM,3,0),"")</f>
        <v/>
      </c>
      <c r="J282" s="57"/>
      <c r="K282" s="57"/>
      <c r="L282" s="57"/>
      <c r="M282" s="44"/>
      <c r="N282" s="45" t="str">
        <f t="shared" si="24"/>
        <v/>
      </c>
      <c r="O282" s="45" t="str">
        <f t="shared" si="25"/>
        <v/>
      </c>
      <c r="P282" s="149" t="str">
        <f t="shared" si="26"/>
        <v/>
      </c>
      <c r="Q282" s="157">
        <f t="shared" si="27"/>
        <v>0</v>
      </c>
      <c r="R282" s="157">
        <f t="shared" si="28"/>
        <v>0</v>
      </c>
      <c r="S282" s="149">
        <f t="shared" si="29"/>
        <v>0</v>
      </c>
      <c r="T282" s="44"/>
    </row>
    <row r="283" spans="1:20" s="46" customFormat="1" ht="14.25" customHeight="1">
      <c r="A283" s="38"/>
      <c r="B283" s="56"/>
      <c r="C283" s="155">
        <f>IF($B283&lt;&gt;"",VLOOKUP($B283,Matriz_INM,2,0),0)</f>
        <v>0</v>
      </c>
      <c r="D283" s="44"/>
      <c r="E283" s="44"/>
      <c r="F283" s="44"/>
      <c r="G283" s="44"/>
      <c r="H283" s="45"/>
      <c r="I283" s="156" t="str">
        <f>IFERROR(VLOOKUP($B283,Matriz_INM,3,0),"")</f>
        <v/>
      </c>
      <c r="J283" s="57"/>
      <c r="K283" s="57"/>
      <c r="L283" s="57"/>
      <c r="M283" s="44"/>
      <c r="N283" s="45" t="str">
        <f t="shared" si="24"/>
        <v/>
      </c>
      <c r="O283" s="45" t="str">
        <f t="shared" si="25"/>
        <v/>
      </c>
      <c r="P283" s="149" t="str">
        <f t="shared" si="26"/>
        <v/>
      </c>
      <c r="Q283" s="157">
        <f t="shared" si="27"/>
        <v>0</v>
      </c>
      <c r="R283" s="157">
        <f t="shared" si="28"/>
        <v>0</v>
      </c>
      <c r="S283" s="149">
        <f t="shared" si="29"/>
        <v>0</v>
      </c>
      <c r="T283" s="44"/>
    </row>
    <row r="284" spans="1:20" s="46" customFormat="1" ht="14.25" customHeight="1">
      <c r="A284" s="38"/>
      <c r="B284" s="56"/>
      <c r="C284" s="155">
        <f>IF($B284&lt;&gt;"",VLOOKUP($B284,Matriz_INM,2,0),0)</f>
        <v>0</v>
      </c>
      <c r="D284" s="44"/>
      <c r="E284" s="44"/>
      <c r="F284" s="44"/>
      <c r="G284" s="44"/>
      <c r="H284" s="45"/>
      <c r="I284" s="156" t="str">
        <f>IFERROR(VLOOKUP($B284,Matriz_INM,3,0),"")</f>
        <v/>
      </c>
      <c r="J284" s="57"/>
      <c r="K284" s="57"/>
      <c r="L284" s="57"/>
      <c r="M284" s="44"/>
      <c r="N284" s="45" t="str">
        <f t="shared" si="24"/>
        <v/>
      </c>
      <c r="O284" s="45" t="str">
        <f t="shared" si="25"/>
        <v/>
      </c>
      <c r="P284" s="149" t="str">
        <f t="shared" si="26"/>
        <v/>
      </c>
      <c r="Q284" s="157">
        <f t="shared" si="27"/>
        <v>0</v>
      </c>
      <c r="R284" s="157">
        <f t="shared" si="28"/>
        <v>0</v>
      </c>
      <c r="S284" s="149">
        <f t="shared" si="29"/>
        <v>0</v>
      </c>
      <c r="T284" s="44"/>
    </row>
    <row r="285" spans="1:20" s="46" customFormat="1" ht="14.25" customHeight="1">
      <c r="A285" s="38"/>
      <c r="B285" s="56"/>
      <c r="C285" s="155">
        <f>IF($B285&lt;&gt;"",VLOOKUP($B285,Matriz_INM,2,0),0)</f>
        <v>0</v>
      </c>
      <c r="D285" s="44"/>
      <c r="E285" s="44"/>
      <c r="F285" s="44"/>
      <c r="G285" s="44"/>
      <c r="H285" s="45"/>
      <c r="I285" s="156" t="str">
        <f>IFERROR(VLOOKUP($B285,Matriz_INM,3,0),"")</f>
        <v/>
      </c>
      <c r="J285" s="57"/>
      <c r="K285" s="57"/>
      <c r="L285" s="57"/>
      <c r="M285" s="44"/>
      <c r="N285" s="45" t="str">
        <f t="shared" si="24"/>
        <v/>
      </c>
      <c r="O285" s="45" t="str">
        <f t="shared" si="25"/>
        <v/>
      </c>
      <c r="P285" s="149" t="str">
        <f t="shared" si="26"/>
        <v/>
      </c>
      <c r="Q285" s="157">
        <f t="shared" si="27"/>
        <v>0</v>
      </c>
      <c r="R285" s="157">
        <f t="shared" si="28"/>
        <v>0</v>
      </c>
      <c r="S285" s="149">
        <f t="shared" si="29"/>
        <v>0</v>
      </c>
      <c r="T285" s="44"/>
    </row>
    <row r="286" spans="1:20" s="46" customFormat="1" ht="14.25" customHeight="1">
      <c r="A286" s="38"/>
      <c r="B286" s="56"/>
      <c r="C286" s="155">
        <f>IF($B286&lt;&gt;"",VLOOKUP($B286,Matriz_INM,2,0),0)</f>
        <v>0</v>
      </c>
      <c r="D286" s="44"/>
      <c r="E286" s="44"/>
      <c r="F286" s="44"/>
      <c r="G286" s="44"/>
      <c r="H286" s="45"/>
      <c r="I286" s="156" t="str">
        <f>IFERROR(VLOOKUP($B286,Matriz_INM,3,0),"")</f>
        <v/>
      </c>
      <c r="J286" s="57"/>
      <c r="K286" s="57"/>
      <c r="L286" s="57"/>
      <c r="M286" s="44"/>
      <c r="N286" s="45" t="str">
        <f t="shared" si="24"/>
        <v/>
      </c>
      <c r="O286" s="45" t="str">
        <f t="shared" si="25"/>
        <v/>
      </c>
      <c r="P286" s="149" t="str">
        <f t="shared" si="26"/>
        <v/>
      </c>
      <c r="Q286" s="157">
        <f t="shared" si="27"/>
        <v>0</v>
      </c>
      <c r="R286" s="157">
        <f t="shared" si="28"/>
        <v>0</v>
      </c>
      <c r="S286" s="149">
        <f t="shared" si="29"/>
        <v>0</v>
      </c>
      <c r="T286" s="44"/>
    </row>
    <row r="287" spans="1:20" s="46" customFormat="1" ht="14.25" customHeight="1">
      <c r="A287" s="38"/>
      <c r="B287" s="56"/>
      <c r="C287" s="155">
        <f>IF($B287&lt;&gt;"",VLOOKUP($B287,Matriz_INM,2,0),0)</f>
        <v>0</v>
      </c>
      <c r="D287" s="44"/>
      <c r="E287" s="44"/>
      <c r="F287" s="44"/>
      <c r="G287" s="44"/>
      <c r="H287" s="45"/>
      <c r="I287" s="156" t="str">
        <f>IFERROR(VLOOKUP($B287,Matriz_INM,3,0),"")</f>
        <v/>
      </c>
      <c r="J287" s="57"/>
      <c r="K287" s="57"/>
      <c r="L287" s="57"/>
      <c r="M287" s="44"/>
      <c r="N287" s="45" t="str">
        <f t="shared" si="24"/>
        <v/>
      </c>
      <c r="O287" s="45" t="str">
        <f t="shared" si="25"/>
        <v/>
      </c>
      <c r="P287" s="149" t="str">
        <f t="shared" si="26"/>
        <v/>
      </c>
      <c r="Q287" s="157">
        <f t="shared" si="27"/>
        <v>0</v>
      </c>
      <c r="R287" s="157">
        <f t="shared" si="28"/>
        <v>0</v>
      </c>
      <c r="S287" s="149">
        <f t="shared" si="29"/>
        <v>0</v>
      </c>
      <c r="T287" s="44"/>
    </row>
    <row r="288" spans="1:20" s="46" customFormat="1" ht="14.25" customHeight="1">
      <c r="A288" s="38"/>
      <c r="B288" s="56"/>
      <c r="C288" s="155">
        <f>IF($B288&lt;&gt;"",VLOOKUP($B288,Matriz_INM,2,0),0)</f>
        <v>0</v>
      </c>
      <c r="D288" s="44"/>
      <c r="E288" s="44"/>
      <c r="F288" s="44"/>
      <c r="G288" s="44"/>
      <c r="H288" s="45"/>
      <c r="I288" s="156" t="str">
        <f>IFERROR(VLOOKUP($B288,Matriz_INM,3,0),"")</f>
        <v/>
      </c>
      <c r="J288" s="57"/>
      <c r="K288" s="57"/>
      <c r="L288" s="57"/>
      <c r="M288" s="44"/>
      <c r="N288" s="45" t="str">
        <f t="shared" si="24"/>
        <v/>
      </c>
      <c r="O288" s="45" t="str">
        <f t="shared" si="25"/>
        <v/>
      </c>
      <c r="P288" s="149" t="str">
        <f t="shared" si="26"/>
        <v/>
      </c>
      <c r="Q288" s="157">
        <f t="shared" si="27"/>
        <v>0</v>
      </c>
      <c r="R288" s="157">
        <f t="shared" si="28"/>
        <v>0</v>
      </c>
      <c r="S288" s="149">
        <f t="shared" si="29"/>
        <v>0</v>
      </c>
      <c r="T288" s="44"/>
    </row>
    <row r="289" spans="1:20" s="46" customFormat="1" ht="14.25" customHeight="1">
      <c r="A289" s="38"/>
      <c r="B289" s="56"/>
      <c r="C289" s="155">
        <f>IF($B289&lt;&gt;"",VLOOKUP($B289,Matriz_INM,2,0),0)</f>
        <v>0</v>
      </c>
      <c r="D289" s="44"/>
      <c r="E289" s="44"/>
      <c r="F289" s="44"/>
      <c r="G289" s="44"/>
      <c r="H289" s="45"/>
      <c r="I289" s="156" t="str">
        <f>IFERROR(VLOOKUP($B289,Matriz_INM,3,0),"")</f>
        <v/>
      </c>
      <c r="J289" s="57"/>
      <c r="K289" s="57"/>
      <c r="L289" s="57"/>
      <c r="M289" s="44"/>
      <c r="N289" s="45" t="str">
        <f t="shared" si="24"/>
        <v/>
      </c>
      <c r="O289" s="45" t="str">
        <f t="shared" si="25"/>
        <v/>
      </c>
      <c r="P289" s="149" t="str">
        <f t="shared" si="26"/>
        <v/>
      </c>
      <c r="Q289" s="157">
        <f t="shared" si="27"/>
        <v>0</v>
      </c>
      <c r="R289" s="157">
        <f t="shared" si="28"/>
        <v>0</v>
      </c>
      <c r="S289" s="149">
        <f t="shared" si="29"/>
        <v>0</v>
      </c>
      <c r="T289" s="44"/>
    </row>
    <row r="290" spans="1:20" s="46" customFormat="1" ht="14.25" customHeight="1">
      <c r="A290" s="38"/>
      <c r="B290" s="56"/>
      <c r="C290" s="155">
        <f>IF($B290&lt;&gt;"",VLOOKUP($B290,Matriz_INM,2,0),0)</f>
        <v>0</v>
      </c>
      <c r="D290" s="44"/>
      <c r="E290" s="44"/>
      <c r="F290" s="44"/>
      <c r="G290" s="44"/>
      <c r="H290" s="45"/>
      <c r="I290" s="156" t="str">
        <f>IFERROR(VLOOKUP($B290,Matriz_INM,3,0),"")</f>
        <v/>
      </c>
      <c r="J290" s="57"/>
      <c r="K290" s="57"/>
      <c r="L290" s="57"/>
      <c r="M290" s="44"/>
      <c r="N290" s="45" t="str">
        <f t="shared" si="24"/>
        <v/>
      </c>
      <c r="O290" s="45" t="str">
        <f t="shared" si="25"/>
        <v/>
      </c>
      <c r="P290" s="149" t="str">
        <f t="shared" si="26"/>
        <v/>
      </c>
      <c r="Q290" s="157">
        <f t="shared" si="27"/>
        <v>0</v>
      </c>
      <c r="R290" s="157">
        <f t="shared" si="28"/>
        <v>0</v>
      </c>
      <c r="S290" s="149">
        <f t="shared" si="29"/>
        <v>0</v>
      </c>
      <c r="T290" s="44"/>
    </row>
    <row r="291" spans="1:20" s="46" customFormat="1" ht="14.25" customHeight="1">
      <c r="A291" s="38"/>
      <c r="B291" s="56"/>
      <c r="C291" s="155">
        <f>IF($B291&lt;&gt;"",VLOOKUP($B291,Matriz_INM,2,0),0)</f>
        <v>0</v>
      </c>
      <c r="D291" s="44"/>
      <c r="E291" s="44"/>
      <c r="F291" s="44"/>
      <c r="G291" s="44"/>
      <c r="H291" s="45"/>
      <c r="I291" s="156" t="str">
        <f>IFERROR(VLOOKUP($B291,Matriz_INM,3,0),"")</f>
        <v/>
      </c>
      <c r="J291" s="57"/>
      <c r="K291" s="57"/>
      <c r="L291" s="57"/>
      <c r="M291" s="44"/>
      <c r="N291" s="45" t="str">
        <f t="shared" si="24"/>
        <v/>
      </c>
      <c r="O291" s="45" t="str">
        <f t="shared" si="25"/>
        <v/>
      </c>
      <c r="P291" s="149" t="str">
        <f t="shared" si="26"/>
        <v/>
      </c>
      <c r="Q291" s="157">
        <f t="shared" si="27"/>
        <v>0</v>
      </c>
      <c r="R291" s="157">
        <f t="shared" si="28"/>
        <v>0</v>
      </c>
      <c r="S291" s="149">
        <f t="shared" si="29"/>
        <v>0</v>
      </c>
      <c r="T291" s="44"/>
    </row>
    <row r="292" spans="1:20" s="46" customFormat="1" ht="14.25" customHeight="1">
      <c r="A292" s="38"/>
      <c r="B292" s="56"/>
      <c r="C292" s="155">
        <f>IF($B292&lt;&gt;"",VLOOKUP($B292,Matriz_INM,2,0),0)</f>
        <v>0</v>
      </c>
      <c r="D292" s="44"/>
      <c r="E292" s="44"/>
      <c r="F292" s="44"/>
      <c r="G292" s="44"/>
      <c r="H292" s="45"/>
      <c r="I292" s="156" t="str">
        <f>IFERROR(VLOOKUP($B292,Matriz_INM,3,0),"")</f>
        <v/>
      </c>
      <c r="J292" s="57"/>
      <c r="K292" s="57"/>
      <c r="L292" s="57"/>
      <c r="M292" s="44"/>
      <c r="N292" s="45" t="str">
        <f t="shared" si="24"/>
        <v/>
      </c>
      <c r="O292" s="45" t="str">
        <f t="shared" si="25"/>
        <v/>
      </c>
      <c r="P292" s="149" t="str">
        <f t="shared" si="26"/>
        <v/>
      </c>
      <c r="Q292" s="157">
        <f t="shared" si="27"/>
        <v>0</v>
      </c>
      <c r="R292" s="157">
        <f t="shared" si="28"/>
        <v>0</v>
      </c>
      <c r="S292" s="149">
        <f t="shared" si="29"/>
        <v>0</v>
      </c>
      <c r="T292" s="44"/>
    </row>
    <row r="293" spans="1:20" s="46" customFormat="1" ht="14.25" customHeight="1">
      <c r="A293" s="38"/>
      <c r="B293" s="56"/>
      <c r="C293" s="155">
        <f>IF($B293&lt;&gt;"",VLOOKUP($B293,Matriz_INM,2,0),0)</f>
        <v>0</v>
      </c>
      <c r="D293" s="44"/>
      <c r="E293" s="44"/>
      <c r="F293" s="44"/>
      <c r="G293" s="44"/>
      <c r="H293" s="45"/>
      <c r="I293" s="156" t="str">
        <f>IFERROR(VLOOKUP($B293,Matriz_INM,3,0),"")</f>
        <v/>
      </c>
      <c r="J293" s="57"/>
      <c r="K293" s="57"/>
      <c r="L293" s="57"/>
      <c r="M293" s="44"/>
      <c r="N293" s="45" t="str">
        <f t="shared" si="24"/>
        <v/>
      </c>
      <c r="O293" s="45" t="str">
        <f t="shared" si="25"/>
        <v/>
      </c>
      <c r="P293" s="149" t="str">
        <f t="shared" si="26"/>
        <v/>
      </c>
      <c r="Q293" s="157">
        <f t="shared" si="27"/>
        <v>0</v>
      </c>
      <c r="R293" s="157">
        <f t="shared" si="28"/>
        <v>0</v>
      </c>
      <c r="S293" s="149">
        <f t="shared" si="29"/>
        <v>0</v>
      </c>
      <c r="T293" s="44"/>
    </row>
    <row r="294" spans="1:20" s="46" customFormat="1" ht="14.25" customHeight="1">
      <c r="A294" s="38"/>
      <c r="B294" s="56"/>
      <c r="C294" s="155">
        <f>IF($B294&lt;&gt;"",VLOOKUP($B294,Matriz_INM,2,0),0)</f>
        <v>0</v>
      </c>
      <c r="D294" s="44"/>
      <c r="E294" s="44"/>
      <c r="F294" s="44"/>
      <c r="G294" s="44"/>
      <c r="H294" s="45"/>
      <c r="I294" s="156" t="str">
        <f>IFERROR(VLOOKUP($B294,Matriz_INM,3,0),"")</f>
        <v/>
      </c>
      <c r="J294" s="57"/>
      <c r="K294" s="57"/>
      <c r="L294" s="57"/>
      <c r="M294" s="44"/>
      <c r="N294" s="45" t="str">
        <f t="shared" si="24"/>
        <v/>
      </c>
      <c r="O294" s="45" t="str">
        <f t="shared" si="25"/>
        <v/>
      </c>
      <c r="P294" s="149" t="str">
        <f t="shared" si="26"/>
        <v/>
      </c>
      <c r="Q294" s="157">
        <f t="shared" si="27"/>
        <v>0</v>
      </c>
      <c r="R294" s="157">
        <f t="shared" si="28"/>
        <v>0</v>
      </c>
      <c r="S294" s="149">
        <f t="shared" si="29"/>
        <v>0</v>
      </c>
      <c r="T294" s="44"/>
    </row>
    <row r="295" spans="1:20" s="46" customFormat="1" ht="14.25" customHeight="1">
      <c r="A295" s="38"/>
      <c r="B295" s="56"/>
      <c r="C295" s="155">
        <f>IF($B295&lt;&gt;"",VLOOKUP($B295,Matriz_INM,2,0),0)</f>
        <v>0</v>
      </c>
      <c r="D295" s="44"/>
      <c r="E295" s="44"/>
      <c r="F295" s="44"/>
      <c r="G295" s="44"/>
      <c r="H295" s="45"/>
      <c r="I295" s="156" t="str">
        <f>IFERROR(VLOOKUP($B295,Matriz_INM,3,0),"")</f>
        <v/>
      </c>
      <c r="J295" s="57"/>
      <c r="K295" s="57"/>
      <c r="L295" s="57"/>
      <c r="M295" s="44"/>
      <c r="N295" s="45" t="str">
        <f t="shared" si="24"/>
        <v/>
      </c>
      <c r="O295" s="45" t="str">
        <f t="shared" si="25"/>
        <v/>
      </c>
      <c r="P295" s="149" t="str">
        <f t="shared" si="26"/>
        <v/>
      </c>
      <c r="Q295" s="157">
        <f t="shared" si="27"/>
        <v>0</v>
      </c>
      <c r="R295" s="157">
        <f t="shared" si="28"/>
        <v>0</v>
      </c>
      <c r="S295" s="149">
        <f t="shared" si="29"/>
        <v>0</v>
      </c>
      <c r="T295" s="44"/>
    </row>
    <row r="296" spans="1:20" s="46" customFormat="1" ht="14.25" customHeight="1">
      <c r="A296" s="38"/>
      <c r="B296" s="56"/>
      <c r="C296" s="155">
        <f>IF($B296&lt;&gt;"",VLOOKUP($B296,Matriz_INM,2,0),0)</f>
        <v>0</v>
      </c>
      <c r="D296" s="44"/>
      <c r="E296" s="44"/>
      <c r="F296" s="44"/>
      <c r="G296" s="44"/>
      <c r="H296" s="45"/>
      <c r="I296" s="156" t="str">
        <f>IFERROR(VLOOKUP($B296,Matriz_INM,3,0),"")</f>
        <v/>
      </c>
      <c r="J296" s="57"/>
      <c r="K296" s="57"/>
      <c r="L296" s="57"/>
      <c r="M296" s="44"/>
      <c r="N296" s="45" t="str">
        <f t="shared" si="24"/>
        <v/>
      </c>
      <c r="O296" s="45" t="str">
        <f t="shared" si="25"/>
        <v/>
      </c>
      <c r="P296" s="149" t="str">
        <f t="shared" si="26"/>
        <v/>
      </c>
      <c r="Q296" s="157">
        <f t="shared" si="27"/>
        <v>0</v>
      </c>
      <c r="R296" s="157">
        <f t="shared" si="28"/>
        <v>0</v>
      </c>
      <c r="S296" s="149">
        <f t="shared" si="29"/>
        <v>0</v>
      </c>
      <c r="T296" s="44"/>
    </row>
    <row r="297" spans="1:20" s="46" customFormat="1" ht="14.25" customHeight="1">
      <c r="A297" s="38"/>
      <c r="B297" s="56"/>
      <c r="C297" s="155">
        <f>IF($B297&lt;&gt;"",VLOOKUP($B297,Matriz_INM,2,0),0)</f>
        <v>0</v>
      </c>
      <c r="D297" s="44"/>
      <c r="E297" s="44"/>
      <c r="F297" s="44"/>
      <c r="G297" s="44"/>
      <c r="H297" s="45"/>
      <c r="I297" s="156" t="str">
        <f>IFERROR(VLOOKUP($B297,Matriz_INM,3,0),"")</f>
        <v/>
      </c>
      <c r="J297" s="57"/>
      <c r="K297" s="57"/>
      <c r="L297" s="57"/>
      <c r="M297" s="44"/>
      <c r="N297" s="45" t="str">
        <f t="shared" si="24"/>
        <v/>
      </c>
      <c r="O297" s="45" t="str">
        <f t="shared" si="25"/>
        <v/>
      </c>
      <c r="P297" s="149" t="str">
        <f t="shared" si="26"/>
        <v/>
      </c>
      <c r="Q297" s="157">
        <f t="shared" si="27"/>
        <v>0</v>
      </c>
      <c r="R297" s="157">
        <f t="shared" si="28"/>
        <v>0</v>
      </c>
      <c r="S297" s="149">
        <f t="shared" si="29"/>
        <v>0</v>
      </c>
      <c r="T297" s="44"/>
    </row>
    <row r="298" spans="1:20" s="46" customFormat="1" ht="14.25" customHeight="1">
      <c r="A298" s="38"/>
      <c r="B298" s="56"/>
      <c r="C298" s="155">
        <f>IF($B298&lt;&gt;"",VLOOKUP($B298,Matriz_INM,2,0),0)</f>
        <v>0</v>
      </c>
      <c r="D298" s="44"/>
      <c r="E298" s="44"/>
      <c r="F298" s="44"/>
      <c r="G298" s="44"/>
      <c r="H298" s="45"/>
      <c r="I298" s="156" t="str">
        <f>IFERROR(VLOOKUP($B298,Matriz_INM,3,0),"")</f>
        <v/>
      </c>
      <c r="J298" s="57"/>
      <c r="K298" s="57"/>
      <c r="L298" s="57"/>
      <c r="M298" s="44"/>
      <c r="N298" s="45" t="str">
        <f t="shared" si="24"/>
        <v/>
      </c>
      <c r="O298" s="45" t="str">
        <f t="shared" si="25"/>
        <v/>
      </c>
      <c r="P298" s="149" t="str">
        <f t="shared" si="26"/>
        <v/>
      </c>
      <c r="Q298" s="157">
        <f t="shared" si="27"/>
        <v>0</v>
      </c>
      <c r="R298" s="157">
        <f t="shared" si="28"/>
        <v>0</v>
      </c>
      <c r="S298" s="149">
        <f t="shared" si="29"/>
        <v>0</v>
      </c>
      <c r="T298" s="44"/>
    </row>
    <row r="299" spans="1:20" s="46" customFormat="1" ht="14.25" customHeight="1">
      <c r="A299" s="38"/>
      <c r="B299" s="56"/>
      <c r="C299" s="155">
        <f>IF($B299&lt;&gt;"",VLOOKUP($B299,Matriz_INM,2,0),0)</f>
        <v>0</v>
      </c>
      <c r="D299" s="44"/>
      <c r="E299" s="44"/>
      <c r="F299" s="44"/>
      <c r="G299" s="44"/>
      <c r="H299" s="45"/>
      <c r="I299" s="156" t="str">
        <f>IFERROR(VLOOKUP($B299,Matriz_INM,3,0),"")</f>
        <v/>
      </c>
      <c r="J299" s="57"/>
      <c r="K299" s="57"/>
      <c r="L299" s="57"/>
      <c r="M299" s="44"/>
      <c r="N299" s="45" t="str">
        <f t="shared" si="24"/>
        <v/>
      </c>
      <c r="O299" s="45" t="str">
        <f t="shared" si="25"/>
        <v/>
      </c>
      <c r="P299" s="149" t="str">
        <f t="shared" si="26"/>
        <v/>
      </c>
      <c r="Q299" s="157">
        <f t="shared" si="27"/>
        <v>0</v>
      </c>
      <c r="R299" s="157">
        <f t="shared" si="28"/>
        <v>0</v>
      </c>
      <c r="S299" s="149">
        <f t="shared" si="29"/>
        <v>0</v>
      </c>
      <c r="T299" s="44"/>
    </row>
    <row r="300" spans="1:20" s="46" customFormat="1" ht="14.25" customHeight="1">
      <c r="A300" s="38"/>
      <c r="B300" s="56"/>
      <c r="C300" s="155">
        <f>IF($B300&lt;&gt;"",VLOOKUP($B300,Matriz_INM,2,0),0)</f>
        <v>0</v>
      </c>
      <c r="D300" s="44"/>
      <c r="E300" s="44"/>
      <c r="F300" s="44"/>
      <c r="G300" s="44"/>
      <c r="H300" s="45"/>
      <c r="I300" s="156" t="str">
        <f>IFERROR(VLOOKUP($B300,Matriz_INM,3,0),"")</f>
        <v/>
      </c>
      <c r="J300" s="57"/>
      <c r="K300" s="57"/>
      <c r="L300" s="57"/>
      <c r="M300" s="44"/>
      <c r="N300" s="45" t="str">
        <f t="shared" si="24"/>
        <v/>
      </c>
      <c r="O300" s="45" t="str">
        <f t="shared" si="25"/>
        <v/>
      </c>
      <c r="P300" s="149" t="str">
        <f t="shared" si="26"/>
        <v/>
      </c>
      <c r="Q300" s="157">
        <f t="shared" si="27"/>
        <v>0</v>
      </c>
      <c r="R300" s="157">
        <f t="shared" si="28"/>
        <v>0</v>
      </c>
      <c r="S300" s="149">
        <f t="shared" si="29"/>
        <v>0</v>
      </c>
      <c r="T300" s="44"/>
    </row>
    <row r="301" spans="1:20" s="46" customFormat="1" ht="14.25" customHeight="1">
      <c r="A301" s="38"/>
      <c r="B301" s="56"/>
      <c r="C301" s="155">
        <f>IF($B301&lt;&gt;"",VLOOKUP($B301,Matriz_INM,2,0),0)</f>
        <v>0</v>
      </c>
      <c r="D301" s="44"/>
      <c r="E301" s="44"/>
      <c r="F301" s="44"/>
      <c r="G301" s="44"/>
      <c r="H301" s="45"/>
      <c r="I301" s="156" t="str">
        <f>IFERROR(VLOOKUP($B301,Matriz_INM,3,0),"")</f>
        <v/>
      </c>
      <c r="J301" s="57"/>
      <c r="K301" s="57"/>
      <c r="L301" s="57"/>
      <c r="M301" s="44"/>
      <c r="N301" s="45" t="str">
        <f t="shared" si="24"/>
        <v/>
      </c>
      <c r="O301" s="45" t="str">
        <f t="shared" si="25"/>
        <v/>
      </c>
      <c r="P301" s="149" t="str">
        <f t="shared" si="26"/>
        <v/>
      </c>
      <c r="Q301" s="157">
        <f t="shared" si="27"/>
        <v>0</v>
      </c>
      <c r="R301" s="157">
        <f t="shared" si="28"/>
        <v>0</v>
      </c>
      <c r="S301" s="149">
        <f t="shared" si="29"/>
        <v>0</v>
      </c>
      <c r="T301" s="44"/>
    </row>
    <row r="302" spans="1:20" s="46" customFormat="1" ht="14.25" customHeight="1">
      <c r="A302" s="38"/>
      <c r="B302" s="56"/>
      <c r="C302" s="155">
        <f>IF($B302&lt;&gt;"",VLOOKUP($B302,Matriz_INM,2,0),0)</f>
        <v>0</v>
      </c>
      <c r="D302" s="44"/>
      <c r="E302" s="44"/>
      <c r="F302" s="44"/>
      <c r="G302" s="44"/>
      <c r="H302" s="45"/>
      <c r="I302" s="156" t="str">
        <f>IFERROR(VLOOKUP($B302,Matriz_INM,3,0),"")</f>
        <v/>
      </c>
      <c r="J302" s="57"/>
      <c r="K302" s="57"/>
      <c r="L302" s="57"/>
      <c r="M302" s="44"/>
      <c r="N302" s="45" t="str">
        <f t="shared" si="24"/>
        <v/>
      </c>
      <c r="O302" s="45" t="str">
        <f t="shared" si="25"/>
        <v/>
      </c>
      <c r="P302" s="149" t="str">
        <f t="shared" si="26"/>
        <v/>
      </c>
      <c r="Q302" s="157">
        <f t="shared" si="27"/>
        <v>0</v>
      </c>
      <c r="R302" s="157">
        <f t="shared" si="28"/>
        <v>0</v>
      </c>
      <c r="S302" s="149">
        <f t="shared" si="29"/>
        <v>0</v>
      </c>
      <c r="T302" s="44"/>
    </row>
    <row r="303" spans="1:20" s="46" customFormat="1" ht="14.25" customHeight="1">
      <c r="A303" s="38"/>
      <c r="B303" s="56"/>
      <c r="C303" s="155">
        <f>IF($B303&lt;&gt;"",VLOOKUP($B303,Matriz_INM,2,0),0)</f>
        <v>0</v>
      </c>
      <c r="D303" s="44"/>
      <c r="E303" s="44"/>
      <c r="F303" s="44"/>
      <c r="G303" s="44"/>
      <c r="H303" s="45"/>
      <c r="I303" s="156" t="str">
        <f>IFERROR(VLOOKUP($B303,Matriz_INM,3,0),"")</f>
        <v/>
      </c>
      <c r="J303" s="57"/>
      <c r="K303" s="57"/>
      <c r="L303" s="57"/>
      <c r="M303" s="44"/>
      <c r="N303" s="45" t="str">
        <f t="shared" si="24"/>
        <v/>
      </c>
      <c r="O303" s="45" t="str">
        <f t="shared" si="25"/>
        <v/>
      </c>
      <c r="P303" s="149" t="str">
        <f t="shared" si="26"/>
        <v/>
      </c>
      <c r="Q303" s="157">
        <f t="shared" si="27"/>
        <v>0</v>
      </c>
      <c r="R303" s="157">
        <f t="shared" si="28"/>
        <v>0</v>
      </c>
      <c r="S303" s="149">
        <f t="shared" si="29"/>
        <v>0</v>
      </c>
      <c r="T303" s="44"/>
    </row>
    <row r="304" spans="1:20" s="46" customFormat="1" ht="14.25" customHeight="1">
      <c r="A304" s="38"/>
      <c r="B304" s="56"/>
      <c r="C304" s="155">
        <f>IF($B304&lt;&gt;"",VLOOKUP($B304,Matriz_INM,2,0),0)</f>
        <v>0</v>
      </c>
      <c r="D304" s="44"/>
      <c r="E304" s="44"/>
      <c r="F304" s="44"/>
      <c r="G304" s="44"/>
      <c r="H304" s="45"/>
      <c r="I304" s="156" t="str">
        <f>IFERROR(VLOOKUP($B304,Matriz_INM,3,0),"")</f>
        <v/>
      </c>
      <c r="J304" s="57"/>
      <c r="K304" s="57"/>
      <c r="L304" s="57"/>
      <c r="M304" s="44"/>
      <c r="N304" s="45" t="str">
        <f t="shared" si="24"/>
        <v/>
      </c>
      <c r="O304" s="45" t="str">
        <f t="shared" si="25"/>
        <v/>
      </c>
      <c r="P304" s="149" t="str">
        <f t="shared" si="26"/>
        <v/>
      </c>
      <c r="Q304" s="157">
        <f t="shared" si="27"/>
        <v>0</v>
      </c>
      <c r="R304" s="157">
        <f t="shared" si="28"/>
        <v>0</v>
      </c>
      <c r="S304" s="149">
        <f t="shared" si="29"/>
        <v>0</v>
      </c>
      <c r="T304" s="44"/>
    </row>
    <row r="305" spans="1:20" s="46" customFormat="1" ht="14.25" customHeight="1">
      <c r="A305" s="38"/>
      <c r="B305" s="56"/>
      <c r="C305" s="155">
        <f>IF($B305&lt;&gt;"",VLOOKUP($B305,Matriz_INM,2,0),0)</f>
        <v>0</v>
      </c>
      <c r="D305" s="44"/>
      <c r="E305" s="44"/>
      <c r="F305" s="44"/>
      <c r="G305" s="44"/>
      <c r="H305" s="45"/>
      <c r="I305" s="156" t="str">
        <f>IFERROR(VLOOKUP($B305,Matriz_INM,3,0),"")</f>
        <v/>
      </c>
      <c r="J305" s="57"/>
      <c r="K305" s="57"/>
      <c r="L305" s="57"/>
      <c r="M305" s="44"/>
      <c r="N305" s="45" t="str">
        <f t="shared" si="24"/>
        <v/>
      </c>
      <c r="O305" s="45" t="str">
        <f t="shared" si="25"/>
        <v/>
      </c>
      <c r="P305" s="149" t="str">
        <f t="shared" si="26"/>
        <v/>
      </c>
      <c r="Q305" s="157">
        <f t="shared" si="27"/>
        <v>0</v>
      </c>
      <c r="R305" s="157">
        <f t="shared" si="28"/>
        <v>0</v>
      </c>
      <c r="S305" s="149">
        <f t="shared" si="29"/>
        <v>0</v>
      </c>
      <c r="T305" s="44"/>
    </row>
    <row r="306" spans="1:20" s="46" customFormat="1" ht="14.25" customHeight="1">
      <c r="A306" s="38"/>
      <c r="B306" s="56"/>
      <c r="C306" s="155">
        <f>IF($B306&lt;&gt;"",VLOOKUP($B306,Matriz_INM,2,0),0)</f>
        <v>0</v>
      </c>
      <c r="D306" s="44"/>
      <c r="E306" s="44"/>
      <c r="F306" s="44"/>
      <c r="G306" s="44"/>
      <c r="H306" s="45"/>
      <c r="I306" s="156" t="str">
        <f>IFERROR(VLOOKUP($B306,Matriz_INM,3,0),"")</f>
        <v/>
      </c>
      <c r="J306" s="57"/>
      <c r="K306" s="57"/>
      <c r="L306" s="57"/>
      <c r="M306" s="44"/>
      <c r="N306" s="45" t="str">
        <f t="shared" si="24"/>
        <v/>
      </c>
      <c r="O306" s="45" t="str">
        <f t="shared" si="25"/>
        <v/>
      </c>
      <c r="P306" s="149" t="str">
        <f t="shared" si="26"/>
        <v/>
      </c>
      <c r="Q306" s="157">
        <f t="shared" si="27"/>
        <v>0</v>
      </c>
      <c r="R306" s="157">
        <f t="shared" si="28"/>
        <v>0</v>
      </c>
      <c r="S306" s="149">
        <f t="shared" si="29"/>
        <v>0</v>
      </c>
      <c r="T306" s="44"/>
    </row>
    <row r="307" spans="1:20" s="46" customFormat="1" ht="14.25" customHeight="1">
      <c r="A307" s="38"/>
      <c r="B307" s="56"/>
      <c r="C307" s="155">
        <f>IF($B307&lt;&gt;"",VLOOKUP($B307,Matriz_INM,2,0),0)</f>
        <v>0</v>
      </c>
      <c r="D307" s="44"/>
      <c r="E307" s="44"/>
      <c r="F307" s="44"/>
      <c r="G307" s="44"/>
      <c r="H307" s="45"/>
      <c r="I307" s="156" t="str">
        <f>IFERROR(VLOOKUP($B307,Matriz_INM,3,0),"")</f>
        <v/>
      </c>
      <c r="J307" s="57"/>
      <c r="K307" s="57"/>
      <c r="L307" s="57"/>
      <c r="M307" s="44"/>
      <c r="N307" s="45" t="str">
        <f t="shared" si="24"/>
        <v/>
      </c>
      <c r="O307" s="45" t="str">
        <f t="shared" si="25"/>
        <v/>
      </c>
      <c r="P307" s="149" t="str">
        <f t="shared" si="26"/>
        <v/>
      </c>
      <c r="Q307" s="157">
        <f t="shared" si="27"/>
        <v>0</v>
      </c>
      <c r="R307" s="157">
        <f t="shared" si="28"/>
        <v>0</v>
      </c>
      <c r="S307" s="149">
        <f t="shared" si="29"/>
        <v>0</v>
      </c>
      <c r="T307" s="44"/>
    </row>
    <row r="308" spans="1:20" s="46" customFormat="1" ht="14.25" customHeight="1">
      <c r="A308" s="38"/>
      <c r="B308" s="56"/>
      <c r="C308" s="155">
        <f>IF($B308&lt;&gt;"",VLOOKUP($B308,Matriz_INM,2,0),0)</f>
        <v>0</v>
      </c>
      <c r="D308" s="44"/>
      <c r="E308" s="44"/>
      <c r="F308" s="44"/>
      <c r="G308" s="44"/>
      <c r="H308" s="45"/>
      <c r="I308" s="156" t="str">
        <f>IFERROR(VLOOKUP($B308,Matriz_INM,3,0),"")</f>
        <v/>
      </c>
      <c r="J308" s="57"/>
      <c r="K308" s="57"/>
      <c r="L308" s="57"/>
      <c r="M308" s="44"/>
      <c r="N308" s="45" t="str">
        <f t="shared" si="24"/>
        <v/>
      </c>
      <c r="O308" s="45" t="str">
        <f t="shared" si="25"/>
        <v/>
      </c>
      <c r="P308" s="149" t="str">
        <f t="shared" si="26"/>
        <v/>
      </c>
      <c r="Q308" s="157">
        <f t="shared" si="27"/>
        <v>0</v>
      </c>
      <c r="R308" s="157">
        <f t="shared" si="28"/>
        <v>0</v>
      </c>
      <c r="S308" s="149">
        <f t="shared" si="29"/>
        <v>0</v>
      </c>
      <c r="T308" s="44"/>
    </row>
    <row r="309" spans="1:20" s="46" customFormat="1" ht="14.25" customHeight="1">
      <c r="A309" s="38"/>
      <c r="B309" s="56"/>
      <c r="C309" s="155">
        <f>IF($B309&lt;&gt;"",VLOOKUP($B309,Matriz_INM,2,0),0)</f>
        <v>0</v>
      </c>
      <c r="D309" s="44"/>
      <c r="E309" s="44"/>
      <c r="F309" s="44"/>
      <c r="G309" s="44"/>
      <c r="H309" s="45"/>
      <c r="I309" s="156" t="str">
        <f>IFERROR(VLOOKUP($B309,Matriz_INM,3,0),"")</f>
        <v/>
      </c>
      <c r="J309" s="57"/>
      <c r="K309" s="57"/>
      <c r="L309" s="57"/>
      <c r="M309" s="44"/>
      <c r="N309" s="45" t="str">
        <f t="shared" si="24"/>
        <v/>
      </c>
      <c r="O309" s="45" t="str">
        <f t="shared" si="25"/>
        <v/>
      </c>
      <c r="P309" s="149" t="str">
        <f t="shared" si="26"/>
        <v/>
      </c>
      <c r="Q309" s="157">
        <f t="shared" si="27"/>
        <v>0</v>
      </c>
      <c r="R309" s="157">
        <f t="shared" si="28"/>
        <v>0</v>
      </c>
      <c r="S309" s="149">
        <f t="shared" si="29"/>
        <v>0</v>
      </c>
      <c r="T309" s="44"/>
    </row>
    <row r="310" spans="1:20" s="46" customFormat="1" ht="14.25" customHeight="1">
      <c r="A310" s="38"/>
      <c r="B310" s="56"/>
      <c r="C310" s="155">
        <f>IF($B310&lt;&gt;"",VLOOKUP($B310,Matriz_INM,2,0),0)</f>
        <v>0</v>
      </c>
      <c r="D310" s="44"/>
      <c r="E310" s="44"/>
      <c r="F310" s="44"/>
      <c r="G310" s="44"/>
      <c r="H310" s="45"/>
      <c r="I310" s="156" t="str">
        <f>IFERROR(VLOOKUP($B310,Matriz_INM,3,0),"")</f>
        <v/>
      </c>
      <c r="J310" s="57"/>
      <c r="K310" s="57"/>
      <c r="L310" s="57"/>
      <c r="M310" s="44"/>
      <c r="N310" s="45" t="str">
        <f t="shared" si="24"/>
        <v/>
      </c>
      <c r="O310" s="45" t="str">
        <f t="shared" si="25"/>
        <v/>
      </c>
      <c r="P310" s="149" t="str">
        <f t="shared" si="26"/>
        <v/>
      </c>
      <c r="Q310" s="157">
        <f t="shared" si="27"/>
        <v>0</v>
      </c>
      <c r="R310" s="157">
        <f t="shared" si="28"/>
        <v>0</v>
      </c>
      <c r="S310" s="149">
        <f t="shared" si="29"/>
        <v>0</v>
      </c>
      <c r="T310" s="44"/>
    </row>
    <row r="311" spans="1:20" s="46" customFormat="1" ht="14.25" customHeight="1">
      <c r="A311" s="38"/>
      <c r="B311" s="56"/>
      <c r="C311" s="155">
        <f>IF($B311&lt;&gt;"",VLOOKUP($B311,Matriz_INM,2,0),0)</f>
        <v>0</v>
      </c>
      <c r="D311" s="44"/>
      <c r="E311" s="44"/>
      <c r="F311" s="44"/>
      <c r="G311" s="44"/>
      <c r="H311" s="45"/>
      <c r="I311" s="156" t="str">
        <f>IFERROR(VLOOKUP($B311,Matriz_INM,3,0),"")</f>
        <v/>
      </c>
      <c r="J311" s="57"/>
      <c r="K311" s="57"/>
      <c r="L311" s="57"/>
      <c r="M311" s="44"/>
      <c r="N311" s="45" t="str">
        <f t="shared" si="24"/>
        <v/>
      </c>
      <c r="O311" s="45" t="str">
        <f t="shared" si="25"/>
        <v/>
      </c>
      <c r="P311" s="149" t="str">
        <f t="shared" si="26"/>
        <v/>
      </c>
      <c r="Q311" s="157">
        <f t="shared" si="27"/>
        <v>0</v>
      </c>
      <c r="R311" s="157">
        <f t="shared" si="28"/>
        <v>0</v>
      </c>
      <c r="S311" s="149">
        <f t="shared" si="29"/>
        <v>0</v>
      </c>
      <c r="T311" s="44"/>
    </row>
    <row r="312" spans="1:20" s="46" customFormat="1" ht="14.25" customHeight="1">
      <c r="A312" s="38"/>
      <c r="B312" s="56"/>
      <c r="C312" s="155">
        <f>IF($B312&lt;&gt;"",VLOOKUP($B312,Matriz_INM,2,0),0)</f>
        <v>0</v>
      </c>
      <c r="D312" s="44"/>
      <c r="E312" s="44"/>
      <c r="F312" s="44"/>
      <c r="G312" s="44"/>
      <c r="H312" s="45"/>
      <c r="I312" s="156" t="str">
        <f>IFERROR(VLOOKUP($B312,Matriz_INM,3,0),"")</f>
        <v/>
      </c>
      <c r="J312" s="57"/>
      <c r="K312" s="57"/>
      <c r="L312" s="57"/>
      <c r="M312" s="44"/>
      <c r="N312" s="45" t="str">
        <f t="shared" si="24"/>
        <v/>
      </c>
      <c r="O312" s="45" t="str">
        <f t="shared" si="25"/>
        <v/>
      </c>
      <c r="P312" s="149" t="str">
        <f t="shared" si="26"/>
        <v/>
      </c>
      <c r="Q312" s="157">
        <f t="shared" si="27"/>
        <v>0</v>
      </c>
      <c r="R312" s="157">
        <f t="shared" si="28"/>
        <v>0</v>
      </c>
      <c r="S312" s="149">
        <f t="shared" si="29"/>
        <v>0</v>
      </c>
      <c r="T312" s="44"/>
    </row>
    <row r="313" spans="1:20" s="46" customFormat="1" ht="14.25" customHeight="1">
      <c r="A313" s="38"/>
      <c r="B313" s="56"/>
      <c r="C313" s="155">
        <f>IF($B313&lt;&gt;"",VLOOKUP($B313,Matriz_INM,2,0),0)</f>
        <v>0</v>
      </c>
      <c r="D313" s="44"/>
      <c r="E313" s="44"/>
      <c r="F313" s="44"/>
      <c r="G313" s="44"/>
      <c r="H313" s="45"/>
      <c r="I313" s="156" t="str">
        <f>IFERROR(VLOOKUP($B313,Matriz_INM,3,0),"")</f>
        <v/>
      </c>
      <c r="J313" s="57"/>
      <c r="K313" s="57"/>
      <c r="L313" s="57"/>
      <c r="M313" s="44"/>
      <c r="N313" s="45" t="str">
        <f t="shared" si="24"/>
        <v/>
      </c>
      <c r="O313" s="45" t="str">
        <f t="shared" si="25"/>
        <v/>
      </c>
      <c r="P313" s="149" t="str">
        <f t="shared" si="26"/>
        <v/>
      </c>
      <c r="Q313" s="157">
        <f t="shared" si="27"/>
        <v>0</v>
      </c>
      <c r="R313" s="157">
        <f t="shared" si="28"/>
        <v>0</v>
      </c>
      <c r="S313" s="149">
        <f t="shared" si="29"/>
        <v>0</v>
      </c>
      <c r="T313" s="44"/>
    </row>
    <row r="314" spans="1:20" s="46" customFormat="1" ht="14.25" customHeight="1">
      <c r="A314" s="38"/>
      <c r="B314" s="56"/>
      <c r="C314" s="155">
        <f>IF($B314&lt;&gt;"",VLOOKUP($B314,Matriz_INM,2,0),0)</f>
        <v>0</v>
      </c>
      <c r="D314" s="44"/>
      <c r="E314" s="44"/>
      <c r="F314" s="44"/>
      <c r="G314" s="44"/>
      <c r="H314" s="45"/>
      <c r="I314" s="156" t="str">
        <f>IFERROR(VLOOKUP($B314,Matriz_INM,3,0),"")</f>
        <v/>
      </c>
      <c r="J314" s="57"/>
      <c r="K314" s="57"/>
      <c r="L314" s="57"/>
      <c r="M314" s="44"/>
      <c r="N314" s="45" t="str">
        <f t="shared" si="24"/>
        <v/>
      </c>
      <c r="O314" s="45" t="str">
        <f t="shared" si="25"/>
        <v/>
      </c>
      <c r="P314" s="149" t="str">
        <f t="shared" si="26"/>
        <v/>
      </c>
      <c r="Q314" s="157">
        <f t="shared" si="27"/>
        <v>0</v>
      </c>
      <c r="R314" s="157">
        <f t="shared" si="28"/>
        <v>0</v>
      </c>
      <c r="S314" s="149">
        <f t="shared" si="29"/>
        <v>0</v>
      </c>
      <c r="T314" s="44"/>
    </row>
    <row r="315" spans="1:20" s="46" customFormat="1" ht="14.25" customHeight="1">
      <c r="A315" s="38"/>
      <c r="B315" s="56"/>
      <c r="C315" s="155">
        <f>IF($B315&lt;&gt;"",VLOOKUP($B315,Matriz_INM,2,0),0)</f>
        <v>0</v>
      </c>
      <c r="D315" s="44"/>
      <c r="E315" s="44"/>
      <c r="F315" s="44"/>
      <c r="G315" s="44"/>
      <c r="H315" s="45"/>
      <c r="I315" s="156" t="str">
        <f>IFERROR(VLOOKUP($B315,Matriz_INM,3,0),"")</f>
        <v/>
      </c>
      <c r="J315" s="57"/>
      <c r="K315" s="57"/>
      <c r="L315" s="57"/>
      <c r="M315" s="44"/>
      <c r="N315" s="45" t="str">
        <f t="shared" si="24"/>
        <v/>
      </c>
      <c r="O315" s="45" t="str">
        <f t="shared" si="25"/>
        <v/>
      </c>
      <c r="P315" s="149" t="str">
        <f t="shared" si="26"/>
        <v/>
      </c>
      <c r="Q315" s="157">
        <f t="shared" si="27"/>
        <v>0</v>
      </c>
      <c r="R315" s="157">
        <f t="shared" si="28"/>
        <v>0</v>
      </c>
      <c r="S315" s="149">
        <f t="shared" si="29"/>
        <v>0</v>
      </c>
      <c r="T315" s="44"/>
    </row>
    <row r="316" spans="1:20" s="46" customFormat="1" ht="14.25" customHeight="1">
      <c r="A316" s="38"/>
      <c r="B316" s="56"/>
      <c r="C316" s="155">
        <f>IF($B316&lt;&gt;"",VLOOKUP($B316,Matriz_INM,2,0),0)</f>
        <v>0</v>
      </c>
      <c r="D316" s="44"/>
      <c r="E316" s="44"/>
      <c r="F316" s="44"/>
      <c r="G316" s="44"/>
      <c r="H316" s="45"/>
      <c r="I316" s="156" t="str">
        <f>IFERROR(VLOOKUP($B316,Matriz_INM,3,0),"")</f>
        <v/>
      </c>
      <c r="J316" s="57"/>
      <c r="K316" s="57"/>
      <c r="L316" s="57"/>
      <c r="M316" s="44"/>
      <c r="N316" s="45" t="str">
        <f t="shared" si="24"/>
        <v/>
      </c>
      <c r="O316" s="45" t="str">
        <f t="shared" si="25"/>
        <v/>
      </c>
      <c r="P316" s="149" t="str">
        <f t="shared" si="26"/>
        <v/>
      </c>
      <c r="Q316" s="157">
        <f t="shared" si="27"/>
        <v>0</v>
      </c>
      <c r="R316" s="157">
        <f t="shared" si="28"/>
        <v>0</v>
      </c>
      <c r="S316" s="149">
        <f t="shared" si="29"/>
        <v>0</v>
      </c>
      <c r="T316" s="44"/>
    </row>
    <row r="317" spans="1:20" s="46" customFormat="1" ht="14.25" customHeight="1">
      <c r="A317" s="38"/>
      <c r="B317" s="56"/>
      <c r="C317" s="155">
        <f>IF($B317&lt;&gt;"",VLOOKUP($B317,Matriz_INM,2,0),0)</f>
        <v>0</v>
      </c>
      <c r="D317" s="44"/>
      <c r="E317" s="44"/>
      <c r="F317" s="44"/>
      <c r="G317" s="44"/>
      <c r="H317" s="45"/>
      <c r="I317" s="156" t="str">
        <f>IFERROR(VLOOKUP($B317,Matriz_INM,3,0),"")</f>
        <v/>
      </c>
      <c r="J317" s="57"/>
      <c r="K317" s="57"/>
      <c r="L317" s="57"/>
      <c r="M317" s="44"/>
      <c r="N317" s="45" t="str">
        <f t="shared" si="24"/>
        <v/>
      </c>
      <c r="O317" s="45" t="str">
        <f t="shared" si="25"/>
        <v/>
      </c>
      <c r="P317" s="149" t="str">
        <f t="shared" si="26"/>
        <v/>
      </c>
      <c r="Q317" s="157">
        <f t="shared" si="27"/>
        <v>0</v>
      </c>
      <c r="R317" s="157">
        <f t="shared" si="28"/>
        <v>0</v>
      </c>
      <c r="S317" s="149">
        <f t="shared" si="29"/>
        <v>0</v>
      </c>
      <c r="T317" s="44"/>
    </row>
    <row r="318" spans="1:20" s="46" customFormat="1" ht="14.25" customHeight="1">
      <c r="A318" s="38"/>
      <c r="B318" s="56"/>
      <c r="C318" s="155">
        <f>IF($B318&lt;&gt;"",VLOOKUP($B318,Matriz_INM,2,0),0)</f>
        <v>0</v>
      </c>
      <c r="D318" s="44"/>
      <c r="E318" s="44"/>
      <c r="F318" s="44"/>
      <c r="G318" s="44"/>
      <c r="H318" s="45"/>
      <c r="I318" s="156" t="str">
        <f>IFERROR(VLOOKUP($B318,Matriz_INM,3,0),"")</f>
        <v/>
      </c>
      <c r="J318" s="57"/>
      <c r="K318" s="57"/>
      <c r="L318" s="57"/>
      <c r="M318" s="44"/>
      <c r="N318" s="45" t="str">
        <f t="shared" si="24"/>
        <v/>
      </c>
      <c r="O318" s="45" t="str">
        <f t="shared" si="25"/>
        <v/>
      </c>
      <c r="P318" s="149" t="str">
        <f t="shared" si="26"/>
        <v/>
      </c>
      <c r="Q318" s="157">
        <f t="shared" si="27"/>
        <v>0</v>
      </c>
      <c r="R318" s="157">
        <f t="shared" si="28"/>
        <v>0</v>
      </c>
      <c r="S318" s="149">
        <f t="shared" si="29"/>
        <v>0</v>
      </c>
      <c r="T318" s="44"/>
    </row>
    <row r="319" spans="1:20" s="46" customFormat="1" ht="14.25" customHeight="1">
      <c r="A319" s="38"/>
      <c r="B319" s="56"/>
      <c r="C319" s="155">
        <f>IF($B319&lt;&gt;"",VLOOKUP($B319,Matriz_INM,2,0),0)</f>
        <v>0</v>
      </c>
      <c r="D319" s="44"/>
      <c r="E319" s="44"/>
      <c r="F319" s="44"/>
      <c r="G319" s="44"/>
      <c r="H319" s="45"/>
      <c r="I319" s="156" t="str">
        <f>IFERROR(VLOOKUP($B319,Matriz_INM,3,0),"")</f>
        <v/>
      </c>
      <c r="J319" s="57"/>
      <c r="K319" s="57"/>
      <c r="L319" s="57"/>
      <c r="M319" s="44"/>
      <c r="N319" s="45" t="str">
        <f t="shared" si="24"/>
        <v/>
      </c>
      <c r="O319" s="45" t="str">
        <f t="shared" si="25"/>
        <v/>
      </c>
      <c r="P319" s="149" t="str">
        <f t="shared" si="26"/>
        <v/>
      </c>
      <c r="Q319" s="157">
        <f t="shared" si="27"/>
        <v>0</v>
      </c>
      <c r="R319" s="157">
        <f t="shared" si="28"/>
        <v>0</v>
      </c>
      <c r="S319" s="149">
        <f t="shared" si="29"/>
        <v>0</v>
      </c>
      <c r="T319" s="44"/>
    </row>
    <row r="320" spans="1:20" s="46" customFormat="1" ht="14.25" customHeight="1">
      <c r="A320" s="38"/>
      <c r="B320" s="56"/>
      <c r="C320" s="155">
        <f>IF($B320&lt;&gt;"",VLOOKUP($B320,Matriz_INM,2,0),0)</f>
        <v>0</v>
      </c>
      <c r="D320" s="44"/>
      <c r="E320" s="44"/>
      <c r="F320" s="44"/>
      <c r="G320" s="44"/>
      <c r="H320" s="45"/>
      <c r="I320" s="156" t="str">
        <f>IFERROR(VLOOKUP($B320,Matriz_INM,3,0),"")</f>
        <v/>
      </c>
      <c r="J320" s="57"/>
      <c r="K320" s="57"/>
      <c r="L320" s="57"/>
      <c r="M320" s="44"/>
      <c r="N320" s="45" t="str">
        <f t="shared" si="24"/>
        <v/>
      </c>
      <c r="O320" s="45" t="str">
        <f t="shared" si="25"/>
        <v/>
      </c>
      <c r="P320" s="149" t="str">
        <f t="shared" si="26"/>
        <v/>
      </c>
      <c r="Q320" s="157">
        <f t="shared" si="27"/>
        <v>0</v>
      </c>
      <c r="R320" s="157">
        <f t="shared" si="28"/>
        <v>0</v>
      </c>
      <c r="S320" s="149">
        <f t="shared" si="29"/>
        <v>0</v>
      </c>
      <c r="T320" s="44"/>
    </row>
    <row r="321" spans="1:20" s="46" customFormat="1" ht="14.25" customHeight="1">
      <c r="A321" s="38"/>
      <c r="B321" s="56"/>
      <c r="C321" s="155">
        <f>IF($B321&lt;&gt;"",VLOOKUP($B321,Matriz_INM,2,0),0)</f>
        <v>0</v>
      </c>
      <c r="D321" s="44"/>
      <c r="E321" s="44"/>
      <c r="F321" s="44"/>
      <c r="G321" s="44"/>
      <c r="H321" s="45"/>
      <c r="I321" s="156" t="str">
        <f>IFERROR(VLOOKUP($B321,Matriz_INM,3,0),"")</f>
        <v/>
      </c>
      <c r="J321" s="57"/>
      <c r="K321" s="57"/>
      <c r="L321" s="57"/>
      <c r="M321" s="44"/>
      <c r="N321" s="45" t="str">
        <f t="shared" si="24"/>
        <v/>
      </c>
      <c r="O321" s="45" t="str">
        <f t="shared" si="25"/>
        <v/>
      </c>
      <c r="P321" s="149" t="str">
        <f t="shared" si="26"/>
        <v/>
      </c>
      <c r="Q321" s="157">
        <f t="shared" si="27"/>
        <v>0</v>
      </c>
      <c r="R321" s="157">
        <f t="shared" si="28"/>
        <v>0</v>
      </c>
      <c r="S321" s="149">
        <f t="shared" si="29"/>
        <v>0</v>
      </c>
      <c r="T321" s="44"/>
    </row>
    <row r="322" spans="1:20" s="46" customFormat="1" ht="14.25" customHeight="1">
      <c r="A322" s="38"/>
      <c r="B322" s="56"/>
      <c r="C322" s="155">
        <f>IF($B322&lt;&gt;"",VLOOKUP($B322,Matriz_INM,2,0),0)</f>
        <v>0</v>
      </c>
      <c r="D322" s="44"/>
      <c r="E322" s="44"/>
      <c r="F322" s="44"/>
      <c r="G322" s="44"/>
      <c r="H322" s="45"/>
      <c r="I322" s="156" t="str">
        <f>IFERROR(VLOOKUP($B322,Matriz_INM,3,0),"")</f>
        <v/>
      </c>
      <c r="J322" s="57"/>
      <c r="K322" s="57"/>
      <c r="L322" s="57"/>
      <c r="M322" s="44"/>
      <c r="N322" s="45" t="str">
        <f t="shared" si="24"/>
        <v/>
      </c>
      <c r="O322" s="45" t="str">
        <f t="shared" si="25"/>
        <v/>
      </c>
      <c r="P322" s="149" t="str">
        <f t="shared" si="26"/>
        <v/>
      </c>
      <c r="Q322" s="157">
        <f t="shared" si="27"/>
        <v>0</v>
      </c>
      <c r="R322" s="157">
        <f t="shared" si="28"/>
        <v>0</v>
      </c>
      <c r="S322" s="149">
        <f t="shared" si="29"/>
        <v>0</v>
      </c>
      <c r="T322" s="44"/>
    </row>
    <row r="323" spans="1:20" s="46" customFormat="1" ht="14.25" customHeight="1">
      <c r="A323" s="38"/>
      <c r="B323" s="56"/>
      <c r="C323" s="155">
        <f>IF($B323&lt;&gt;"",VLOOKUP($B323,Matriz_INM,2,0),0)</f>
        <v>0</v>
      </c>
      <c r="D323" s="44"/>
      <c r="E323" s="44"/>
      <c r="F323" s="44"/>
      <c r="G323" s="44"/>
      <c r="H323" s="45"/>
      <c r="I323" s="156" t="str">
        <f>IFERROR(VLOOKUP($B323,Matriz_INM,3,0),"")</f>
        <v/>
      </c>
      <c r="J323" s="57"/>
      <c r="K323" s="57"/>
      <c r="L323" s="57"/>
      <c r="M323" s="44"/>
      <c r="N323" s="45" t="str">
        <f t="shared" si="24"/>
        <v/>
      </c>
      <c r="O323" s="45" t="str">
        <f t="shared" si="25"/>
        <v/>
      </c>
      <c r="P323" s="149" t="str">
        <f t="shared" si="26"/>
        <v/>
      </c>
      <c r="Q323" s="157">
        <f t="shared" si="27"/>
        <v>0</v>
      </c>
      <c r="R323" s="157">
        <f t="shared" si="28"/>
        <v>0</v>
      </c>
      <c r="S323" s="149">
        <f t="shared" si="29"/>
        <v>0</v>
      </c>
      <c r="T323" s="44"/>
    </row>
    <row r="324" spans="1:20" s="46" customFormat="1" ht="14.25" customHeight="1">
      <c r="A324" s="38"/>
      <c r="B324" s="56"/>
      <c r="C324" s="155">
        <f>IF($B324&lt;&gt;"",VLOOKUP($B324,Matriz_INM,2,0),0)</f>
        <v>0</v>
      </c>
      <c r="D324" s="44"/>
      <c r="E324" s="44"/>
      <c r="F324" s="44"/>
      <c r="G324" s="44"/>
      <c r="H324" s="45"/>
      <c r="I324" s="156" t="str">
        <f>IFERROR(VLOOKUP($B324,Matriz_INM,3,0),"")</f>
        <v/>
      </c>
      <c r="J324" s="57"/>
      <c r="K324" s="57"/>
      <c r="L324" s="57"/>
      <c r="M324" s="44"/>
      <c r="N324" s="45" t="str">
        <f t="shared" si="24"/>
        <v/>
      </c>
      <c r="O324" s="45" t="str">
        <f t="shared" si="25"/>
        <v/>
      </c>
      <c r="P324" s="149" t="str">
        <f t="shared" si="26"/>
        <v/>
      </c>
      <c r="Q324" s="157">
        <f t="shared" si="27"/>
        <v>0</v>
      </c>
      <c r="R324" s="157">
        <f t="shared" si="28"/>
        <v>0</v>
      </c>
      <c r="S324" s="149">
        <f t="shared" si="29"/>
        <v>0</v>
      </c>
      <c r="T324" s="44"/>
    </row>
    <row r="325" spans="1:20" s="46" customFormat="1" ht="14.25" customHeight="1">
      <c r="A325" s="38"/>
      <c r="B325" s="56"/>
      <c r="C325" s="155">
        <f>IF($B325&lt;&gt;"",VLOOKUP($B325,Matriz_INM,2,0),0)</f>
        <v>0</v>
      </c>
      <c r="D325" s="44"/>
      <c r="E325" s="44"/>
      <c r="F325" s="44"/>
      <c r="G325" s="44"/>
      <c r="H325" s="45"/>
      <c r="I325" s="156" t="str">
        <f>IFERROR(VLOOKUP($B325,Matriz_INM,3,0),"")</f>
        <v/>
      </c>
      <c r="J325" s="57"/>
      <c r="K325" s="57"/>
      <c r="L325" s="57"/>
      <c r="M325" s="44"/>
      <c r="N325" s="45" t="str">
        <f t="shared" si="24"/>
        <v/>
      </c>
      <c r="O325" s="45" t="str">
        <f t="shared" si="25"/>
        <v/>
      </c>
      <c r="P325" s="149" t="str">
        <f t="shared" si="26"/>
        <v/>
      </c>
      <c r="Q325" s="157">
        <f t="shared" si="27"/>
        <v>0</v>
      </c>
      <c r="R325" s="157">
        <f t="shared" si="28"/>
        <v>0</v>
      </c>
      <c r="S325" s="149">
        <f t="shared" si="29"/>
        <v>0</v>
      </c>
      <c r="T325" s="44"/>
    </row>
    <row r="326" spans="1:20" s="46" customFormat="1" ht="14.25" customHeight="1">
      <c r="A326" s="38"/>
      <c r="B326" s="56"/>
      <c r="C326" s="155">
        <f>IF($B326&lt;&gt;"",VLOOKUP($B326,Matriz_INM,2,0),0)</f>
        <v>0</v>
      </c>
      <c r="D326" s="44"/>
      <c r="E326" s="44"/>
      <c r="F326" s="44"/>
      <c r="G326" s="44"/>
      <c r="H326" s="45"/>
      <c r="I326" s="156" t="str">
        <f>IFERROR(VLOOKUP($B326,Matriz_INM,3,0),"")</f>
        <v/>
      </c>
      <c r="J326" s="57"/>
      <c r="K326" s="57"/>
      <c r="L326" s="57"/>
      <c r="M326" s="44"/>
      <c r="N326" s="45" t="str">
        <f t="shared" si="24"/>
        <v/>
      </c>
      <c r="O326" s="45" t="str">
        <f t="shared" si="25"/>
        <v/>
      </c>
      <c r="P326" s="149" t="str">
        <f t="shared" si="26"/>
        <v/>
      </c>
      <c r="Q326" s="157">
        <f t="shared" si="27"/>
        <v>0</v>
      </c>
      <c r="R326" s="157">
        <f t="shared" si="28"/>
        <v>0</v>
      </c>
      <c r="S326" s="149">
        <f t="shared" si="29"/>
        <v>0</v>
      </c>
      <c r="T326" s="44"/>
    </row>
    <row r="327" spans="1:20" s="46" customFormat="1" ht="14.25" customHeight="1">
      <c r="A327" s="38"/>
      <c r="B327" s="56"/>
      <c r="C327" s="155">
        <f>IF($B327&lt;&gt;"",VLOOKUP($B327,Matriz_INM,2,0),0)</f>
        <v>0</v>
      </c>
      <c r="D327" s="44"/>
      <c r="E327" s="44"/>
      <c r="F327" s="44"/>
      <c r="G327" s="44"/>
      <c r="H327" s="45"/>
      <c r="I327" s="156" t="str">
        <f>IFERROR(VLOOKUP($B327,Matriz_INM,3,0),"")</f>
        <v/>
      </c>
      <c r="J327" s="57"/>
      <c r="K327" s="57"/>
      <c r="L327" s="57"/>
      <c r="M327" s="44"/>
      <c r="N327" s="45" t="str">
        <f t="shared" si="24"/>
        <v/>
      </c>
      <c r="O327" s="45" t="str">
        <f t="shared" si="25"/>
        <v/>
      </c>
      <c r="P327" s="149" t="str">
        <f t="shared" si="26"/>
        <v/>
      </c>
      <c r="Q327" s="157">
        <f t="shared" si="27"/>
        <v>0</v>
      </c>
      <c r="R327" s="157">
        <f t="shared" si="28"/>
        <v>0</v>
      </c>
      <c r="S327" s="149">
        <f t="shared" si="29"/>
        <v>0</v>
      </c>
      <c r="T327" s="44"/>
    </row>
    <row r="328" spans="1:20" s="46" customFormat="1" ht="14.25" customHeight="1">
      <c r="A328" s="38"/>
      <c r="B328" s="56"/>
      <c r="C328" s="155">
        <f>IF($B328&lt;&gt;"",VLOOKUP($B328,Matriz_INM,2,0),0)</f>
        <v>0</v>
      </c>
      <c r="D328" s="44"/>
      <c r="E328" s="44"/>
      <c r="F328" s="44"/>
      <c r="G328" s="44"/>
      <c r="H328" s="45"/>
      <c r="I328" s="156" t="str">
        <f>IFERROR(VLOOKUP($B328,Matriz_INM,3,0),"")</f>
        <v/>
      </c>
      <c r="J328" s="57"/>
      <c r="K328" s="57"/>
      <c r="L328" s="57"/>
      <c r="M328" s="44"/>
      <c r="N328" s="45" t="str">
        <f t="shared" si="24"/>
        <v/>
      </c>
      <c r="O328" s="45" t="str">
        <f t="shared" si="25"/>
        <v/>
      </c>
      <c r="P328" s="149" t="str">
        <f t="shared" si="26"/>
        <v/>
      </c>
      <c r="Q328" s="157">
        <f t="shared" si="27"/>
        <v>0</v>
      </c>
      <c r="R328" s="157">
        <f t="shared" si="28"/>
        <v>0</v>
      </c>
      <c r="S328" s="149">
        <f t="shared" si="29"/>
        <v>0</v>
      </c>
      <c r="T328" s="44"/>
    </row>
    <row r="329" spans="1:20" s="46" customFormat="1" ht="14.25" customHeight="1">
      <c r="A329" s="38"/>
      <c r="B329" s="56"/>
      <c r="C329" s="155">
        <f>IF($B329&lt;&gt;"",VLOOKUP($B329,Matriz_INM,2,0),0)</f>
        <v>0</v>
      </c>
      <c r="D329" s="44"/>
      <c r="E329" s="44"/>
      <c r="F329" s="44"/>
      <c r="G329" s="44"/>
      <c r="H329" s="45"/>
      <c r="I329" s="156" t="str">
        <f>IFERROR(VLOOKUP($B329,Matriz_INM,3,0),"")</f>
        <v/>
      </c>
      <c r="J329" s="57"/>
      <c r="K329" s="57"/>
      <c r="L329" s="57"/>
      <c r="M329" s="44"/>
      <c r="N329" s="45" t="str">
        <f t="shared" si="24"/>
        <v/>
      </c>
      <c r="O329" s="45" t="str">
        <f t="shared" si="25"/>
        <v/>
      </c>
      <c r="P329" s="149" t="str">
        <f t="shared" si="26"/>
        <v/>
      </c>
      <c r="Q329" s="157">
        <f t="shared" si="27"/>
        <v>0</v>
      </c>
      <c r="R329" s="157">
        <f t="shared" si="28"/>
        <v>0</v>
      </c>
      <c r="S329" s="149">
        <f t="shared" si="29"/>
        <v>0</v>
      </c>
      <c r="T329" s="44"/>
    </row>
    <row r="330" spans="1:20" s="46" customFormat="1" ht="14.25" customHeight="1">
      <c r="A330" s="38"/>
      <c r="B330" s="56"/>
      <c r="C330" s="155">
        <f>IF($B330&lt;&gt;"",VLOOKUP($B330,Matriz_INM,2,0),0)</f>
        <v>0</v>
      </c>
      <c r="D330" s="44"/>
      <c r="E330" s="44"/>
      <c r="F330" s="44"/>
      <c r="G330" s="44"/>
      <c r="H330" s="45"/>
      <c r="I330" s="156" t="str">
        <f>IFERROR(VLOOKUP($B330,Matriz_INM,3,0),"")</f>
        <v/>
      </c>
      <c r="J330" s="57"/>
      <c r="K330" s="57"/>
      <c r="L330" s="57"/>
      <c r="M330" s="44"/>
      <c r="N330" s="45" t="str">
        <f t="shared" si="24"/>
        <v/>
      </c>
      <c r="O330" s="45" t="str">
        <f t="shared" si="25"/>
        <v/>
      </c>
      <c r="P330" s="149" t="str">
        <f t="shared" si="26"/>
        <v/>
      </c>
      <c r="Q330" s="157">
        <f t="shared" si="27"/>
        <v>0</v>
      </c>
      <c r="R330" s="157">
        <f t="shared" si="28"/>
        <v>0</v>
      </c>
      <c r="S330" s="149">
        <f t="shared" si="29"/>
        <v>0</v>
      </c>
      <c r="T330" s="44"/>
    </row>
    <row r="331" spans="1:20" s="46" customFormat="1" ht="14.25" customHeight="1">
      <c r="A331" s="38"/>
      <c r="B331" s="56"/>
      <c r="C331" s="155">
        <f>IF($B331&lt;&gt;"",VLOOKUP($B331,Matriz_INM,2,0),0)</f>
        <v>0</v>
      </c>
      <c r="D331" s="44"/>
      <c r="E331" s="44"/>
      <c r="F331" s="44"/>
      <c r="G331" s="44"/>
      <c r="H331" s="45"/>
      <c r="I331" s="156" t="str">
        <f>IFERROR(VLOOKUP($B331,Matriz_INM,3,0),"")</f>
        <v/>
      </c>
      <c r="J331" s="57"/>
      <c r="K331" s="57"/>
      <c r="L331" s="57"/>
      <c r="M331" s="44"/>
      <c r="N331" s="45" t="str">
        <f t="shared" ref="N331:N383" si="30">IF(M331="EE",IF(OR(AND(OR(L331=1,L331=0),K331&gt;0,K331&lt;5),AND(OR(L331=1,L331=0),K331&gt;4,K331&lt;16),AND(L331=2,K331&gt;0,K331&lt;5)),"Simples",IF(OR(AND(OR(L331=1,L331=0),K331&gt;15),AND(L331=2,K331&gt;4,K331&lt;16),AND(L331&gt;2,K331&gt;0,K331&lt;5)),"Médio",IF(OR(AND(L331=2,K331&gt;15),AND(L331&gt;2,K331&gt;4,K331&lt;16),AND(L331&gt;2,K331&gt;15)),"Complexo",""))),
IF(OR(M331="CE",M331="SE"),IF(OR(AND(OR(L331=1,L331=0),K331&gt;0,K331&lt;6),AND(OR(L331=1,L331=0),K331&gt;5,K331&lt;20),AND(L331&gt;1,L331&lt;4,K331&gt;0,K331&lt;6)),"Simples",IF(OR(AND(OR(L331=1,L331=0),K331&gt;19),AND(L331&gt;1,L331&lt;4,K331&gt;5,K331&lt;20),AND(L331&gt;3,K331&gt;0,K331&lt;6)),"Médio",IF(OR(AND(L331&gt;1,L331&lt;4,K331&gt;19),AND(L331&gt;3,K331&gt;5,K331&lt;20),AND(L331&gt;3,K331&gt;19)),"Complexo",""))),""))</f>
        <v/>
      </c>
      <c r="O331" s="45" t="str">
        <f t="shared" ref="O331:O383" si="31">IF(M331="ALI",IF(OR(AND(OR(L331=1,L331=0),K331&gt;0,K331&lt;20),AND(OR(L331=1,L331=0),K331&gt;19,K331&lt;51),AND(L331&gt;1,L331&lt;6,K331&gt;0,K331&lt;20)),"Simples",IF(OR(AND(OR(L331=1,L331=0),K331&gt;50),AND(L331&gt;1,L331&lt;6,K331&gt;19,K331&lt;51),AND(L331&gt;5,K331&gt;0,K331&lt;20)),"Médio",IF(OR(AND(L331&gt;1,L331&lt;6,K331&gt;50),AND(L331&gt;5,K331&gt;19,K331&lt;51),AND(L331&gt;5,K331&gt;50)),"Complexo",""))),
IF(M331="AIE",IF(OR(AND(OR(L331=1, L331=0),K331&gt;0,K331&lt;20),AND(OR(L331=1, L331=0),K331&gt;19,K331&lt;51),AND(L331&gt;1,L331&lt;6,K331&gt;0,K331&lt;20)),"Simples",IF(OR(AND(OR(L331=1, L331=0),K331&gt;50),AND(L331&gt;1,L331&lt;6,K331&gt;19,K331&lt;51),AND(L331&gt;5,K331&gt;0,K331&lt;20)),"Médio",IF(OR(AND(L331&gt;1,L331&lt;6,K331&gt;50),AND(L331&gt;5,K331&gt;19,K331&lt;51),AND(L331&gt;5,K331&gt;50)),"Complexo",""))),""))</f>
        <v/>
      </c>
      <c r="P331" s="149" t="str">
        <f t="shared" ref="P331:P383" si="32">IF(N331="",O331,IF(O331="",N331,""))</f>
        <v/>
      </c>
      <c r="Q331" s="157">
        <f t="shared" ref="Q331:Q383" si="33">IF(AND(OR(M331="EE",M331="CE"),P331="Simples"),3,
IF(AND(OR(M331="EE",M331="CE"),P331="Médio"),4,
IF(AND(OR(M331="EE",M331="CE"),P331="Complexo"),6,
IF(AND(M331="SE",P331="Simples"),4,
IF(AND(M331="SE",P331="Médio"),5,
IF(AND(M331="SE",P331="Complexo"),7,0))))))</f>
        <v>0</v>
      </c>
      <c r="R331" s="157">
        <f t="shared" ref="R331:R383" si="34">IF(AND(M331="ALI",O331="Simples"),7,
IF(AND(M331="ALI",O331="Médio"),10,
IF(AND(M331="ALI",O331="Complexo"),15,
IF(AND(M331="AIE",O331="Simples"),5,
IF(AND(M331="AIE",O331="Médio"),7,
IF(AND(M331="AIE",O331="Complexo"),10,0))))))</f>
        <v>0</v>
      </c>
      <c r="S331" s="149">
        <f t="shared" si="29"/>
        <v>0</v>
      </c>
      <c r="T331" s="44"/>
    </row>
    <row r="332" spans="1:20" s="46" customFormat="1" ht="14.25" customHeight="1">
      <c r="A332" s="38"/>
      <c r="B332" s="56"/>
      <c r="C332" s="155">
        <f>IF($B332&lt;&gt;"",VLOOKUP($B332,Matriz_INM,2,0),0)</f>
        <v>0</v>
      </c>
      <c r="D332" s="44"/>
      <c r="E332" s="44"/>
      <c r="F332" s="44"/>
      <c r="G332" s="44"/>
      <c r="H332" s="45"/>
      <c r="I332" s="156" t="str">
        <f>IFERROR(VLOOKUP($B332,Matriz_INM,3,0),"")</f>
        <v/>
      </c>
      <c r="J332" s="57"/>
      <c r="K332" s="57"/>
      <c r="L332" s="57"/>
      <c r="M332" s="44"/>
      <c r="N332" s="45" t="str">
        <f t="shared" si="30"/>
        <v/>
      </c>
      <c r="O332" s="45" t="str">
        <f t="shared" si="31"/>
        <v/>
      </c>
      <c r="P332" s="149" t="str">
        <f t="shared" si="32"/>
        <v/>
      </c>
      <c r="Q332" s="157">
        <f t="shared" si="33"/>
        <v>0</v>
      </c>
      <c r="R332" s="157">
        <f t="shared" si="34"/>
        <v>0</v>
      </c>
      <c r="S332" s="149">
        <f t="shared" ref="S332:S383" si="35">IF($I332="%",($Q332+$R332)*$C332,$C332)</f>
        <v>0</v>
      </c>
      <c r="T332" s="44"/>
    </row>
    <row r="333" spans="1:20" s="46" customFormat="1" ht="14.25" customHeight="1">
      <c r="A333" s="38"/>
      <c r="B333" s="56"/>
      <c r="C333" s="155">
        <f>IF($B333&lt;&gt;"",VLOOKUP($B333,Matriz_INM,2,0),0)</f>
        <v>0</v>
      </c>
      <c r="D333" s="44"/>
      <c r="E333" s="44"/>
      <c r="F333" s="44"/>
      <c r="G333" s="44"/>
      <c r="H333" s="45"/>
      <c r="I333" s="156" t="str">
        <f>IFERROR(VLOOKUP($B333,Matriz_INM,3,0),"")</f>
        <v/>
      </c>
      <c r="J333" s="57"/>
      <c r="K333" s="57"/>
      <c r="L333" s="57"/>
      <c r="M333" s="44"/>
      <c r="N333" s="45" t="str">
        <f t="shared" si="30"/>
        <v/>
      </c>
      <c r="O333" s="45" t="str">
        <f t="shared" si="31"/>
        <v/>
      </c>
      <c r="P333" s="149" t="str">
        <f t="shared" si="32"/>
        <v/>
      </c>
      <c r="Q333" s="157">
        <f t="shared" si="33"/>
        <v>0</v>
      </c>
      <c r="R333" s="157">
        <f t="shared" si="34"/>
        <v>0</v>
      </c>
      <c r="S333" s="149">
        <f t="shared" si="35"/>
        <v>0</v>
      </c>
      <c r="T333" s="44"/>
    </row>
    <row r="334" spans="1:20" s="46" customFormat="1" ht="14.25" customHeight="1">
      <c r="A334" s="38"/>
      <c r="B334" s="56"/>
      <c r="C334" s="155">
        <f>IF($B334&lt;&gt;"",VLOOKUP($B334,Matriz_INM,2,0),0)</f>
        <v>0</v>
      </c>
      <c r="D334" s="44"/>
      <c r="E334" s="44"/>
      <c r="F334" s="44"/>
      <c r="G334" s="44"/>
      <c r="H334" s="45"/>
      <c r="I334" s="156" t="str">
        <f>IFERROR(VLOOKUP($B334,Matriz_INM,3,0),"")</f>
        <v/>
      </c>
      <c r="J334" s="57"/>
      <c r="K334" s="57"/>
      <c r="L334" s="57"/>
      <c r="M334" s="44"/>
      <c r="N334" s="45" t="str">
        <f t="shared" si="30"/>
        <v/>
      </c>
      <c r="O334" s="45" t="str">
        <f t="shared" si="31"/>
        <v/>
      </c>
      <c r="P334" s="149" t="str">
        <f t="shared" si="32"/>
        <v/>
      </c>
      <c r="Q334" s="157">
        <f t="shared" si="33"/>
        <v>0</v>
      </c>
      <c r="R334" s="157">
        <f t="shared" si="34"/>
        <v>0</v>
      </c>
      <c r="S334" s="149">
        <f t="shared" si="35"/>
        <v>0</v>
      </c>
      <c r="T334" s="44"/>
    </row>
    <row r="335" spans="1:20" s="46" customFormat="1" ht="14.25" customHeight="1">
      <c r="A335" s="38"/>
      <c r="B335" s="56"/>
      <c r="C335" s="155">
        <f>IF($B335&lt;&gt;"",VLOOKUP($B335,Matriz_INM,2,0),0)</f>
        <v>0</v>
      </c>
      <c r="D335" s="44"/>
      <c r="E335" s="44"/>
      <c r="F335" s="44"/>
      <c r="G335" s="44"/>
      <c r="H335" s="45"/>
      <c r="I335" s="156" t="str">
        <f>IFERROR(VLOOKUP($B335,Matriz_INM,3,0),"")</f>
        <v/>
      </c>
      <c r="J335" s="57"/>
      <c r="K335" s="57"/>
      <c r="L335" s="57"/>
      <c r="M335" s="44"/>
      <c r="N335" s="45" t="str">
        <f t="shared" si="30"/>
        <v/>
      </c>
      <c r="O335" s="45" t="str">
        <f t="shared" si="31"/>
        <v/>
      </c>
      <c r="P335" s="149" t="str">
        <f t="shared" si="32"/>
        <v/>
      </c>
      <c r="Q335" s="157">
        <f t="shared" si="33"/>
        <v>0</v>
      </c>
      <c r="R335" s="157">
        <f t="shared" si="34"/>
        <v>0</v>
      </c>
      <c r="S335" s="149">
        <f t="shared" si="35"/>
        <v>0</v>
      </c>
      <c r="T335" s="44"/>
    </row>
    <row r="336" spans="1:20" s="46" customFormat="1" ht="14.25" customHeight="1">
      <c r="A336" s="38"/>
      <c r="B336" s="56"/>
      <c r="C336" s="155">
        <f>IF($B336&lt;&gt;"",VLOOKUP($B336,Matriz_INM,2,0),0)</f>
        <v>0</v>
      </c>
      <c r="D336" s="44"/>
      <c r="E336" s="44"/>
      <c r="F336" s="44"/>
      <c r="G336" s="44"/>
      <c r="H336" s="45"/>
      <c r="I336" s="156" t="str">
        <f>IFERROR(VLOOKUP($B336,Matriz_INM,3,0),"")</f>
        <v/>
      </c>
      <c r="J336" s="57"/>
      <c r="K336" s="57"/>
      <c r="L336" s="57"/>
      <c r="M336" s="44"/>
      <c r="N336" s="45" t="str">
        <f t="shared" si="30"/>
        <v/>
      </c>
      <c r="O336" s="45" t="str">
        <f t="shared" si="31"/>
        <v/>
      </c>
      <c r="P336" s="149" t="str">
        <f t="shared" si="32"/>
        <v/>
      </c>
      <c r="Q336" s="157">
        <f t="shared" si="33"/>
        <v>0</v>
      </c>
      <c r="R336" s="157">
        <f t="shared" si="34"/>
        <v>0</v>
      </c>
      <c r="S336" s="149">
        <f t="shared" si="35"/>
        <v>0</v>
      </c>
      <c r="T336" s="44"/>
    </row>
    <row r="337" spans="1:20" s="46" customFormat="1" ht="14.25" customHeight="1">
      <c r="A337" s="38"/>
      <c r="B337" s="56"/>
      <c r="C337" s="155">
        <f>IF($B337&lt;&gt;"",VLOOKUP($B337,Matriz_INM,2,0),0)</f>
        <v>0</v>
      </c>
      <c r="D337" s="44"/>
      <c r="E337" s="44"/>
      <c r="F337" s="44"/>
      <c r="G337" s="44"/>
      <c r="H337" s="45"/>
      <c r="I337" s="156" t="str">
        <f>IFERROR(VLOOKUP($B337,Matriz_INM,3,0),"")</f>
        <v/>
      </c>
      <c r="J337" s="57"/>
      <c r="K337" s="57"/>
      <c r="L337" s="57"/>
      <c r="M337" s="44"/>
      <c r="N337" s="45" t="str">
        <f t="shared" si="30"/>
        <v/>
      </c>
      <c r="O337" s="45" t="str">
        <f t="shared" si="31"/>
        <v/>
      </c>
      <c r="P337" s="149" t="str">
        <f t="shared" si="32"/>
        <v/>
      </c>
      <c r="Q337" s="157">
        <f t="shared" si="33"/>
        <v>0</v>
      </c>
      <c r="R337" s="157">
        <f t="shared" si="34"/>
        <v>0</v>
      </c>
      <c r="S337" s="149">
        <f t="shared" si="35"/>
        <v>0</v>
      </c>
      <c r="T337" s="44"/>
    </row>
    <row r="338" spans="1:20" s="46" customFormat="1" ht="14.25" customHeight="1">
      <c r="A338" s="38"/>
      <c r="B338" s="56"/>
      <c r="C338" s="155">
        <f>IF($B338&lt;&gt;"",VLOOKUP($B338,Matriz_INM,2,0),0)</f>
        <v>0</v>
      </c>
      <c r="D338" s="44"/>
      <c r="E338" s="44"/>
      <c r="F338" s="44"/>
      <c r="G338" s="44"/>
      <c r="H338" s="45"/>
      <c r="I338" s="156" t="str">
        <f>IFERROR(VLOOKUP($B338,Matriz_INM,3,0),"")</f>
        <v/>
      </c>
      <c r="J338" s="57"/>
      <c r="K338" s="57"/>
      <c r="L338" s="57"/>
      <c r="M338" s="44"/>
      <c r="N338" s="45" t="str">
        <f t="shared" si="30"/>
        <v/>
      </c>
      <c r="O338" s="45" t="str">
        <f t="shared" si="31"/>
        <v/>
      </c>
      <c r="P338" s="149" t="str">
        <f t="shared" si="32"/>
        <v/>
      </c>
      <c r="Q338" s="157">
        <f t="shared" si="33"/>
        <v>0</v>
      </c>
      <c r="R338" s="157">
        <f t="shared" si="34"/>
        <v>0</v>
      </c>
      <c r="S338" s="149">
        <f t="shared" si="35"/>
        <v>0</v>
      </c>
      <c r="T338" s="44"/>
    </row>
    <row r="339" spans="1:20" s="46" customFormat="1" ht="14.25" customHeight="1">
      <c r="A339" s="38"/>
      <c r="B339" s="56"/>
      <c r="C339" s="155">
        <f>IF($B339&lt;&gt;"",VLOOKUP($B339,Matriz_INM,2,0),0)</f>
        <v>0</v>
      </c>
      <c r="D339" s="44"/>
      <c r="E339" s="44"/>
      <c r="F339" s="44"/>
      <c r="G339" s="44"/>
      <c r="H339" s="45"/>
      <c r="I339" s="156" t="str">
        <f>IFERROR(VLOOKUP($B339,Matriz_INM,3,0),"")</f>
        <v/>
      </c>
      <c r="J339" s="57"/>
      <c r="K339" s="57"/>
      <c r="L339" s="57"/>
      <c r="M339" s="44"/>
      <c r="N339" s="45" t="str">
        <f t="shared" si="30"/>
        <v/>
      </c>
      <c r="O339" s="45" t="str">
        <f t="shared" si="31"/>
        <v/>
      </c>
      <c r="P339" s="149" t="str">
        <f t="shared" si="32"/>
        <v/>
      </c>
      <c r="Q339" s="157">
        <f t="shared" si="33"/>
        <v>0</v>
      </c>
      <c r="R339" s="157">
        <f t="shared" si="34"/>
        <v>0</v>
      </c>
      <c r="S339" s="149">
        <f t="shared" si="35"/>
        <v>0</v>
      </c>
      <c r="T339" s="44"/>
    </row>
    <row r="340" spans="1:20" s="46" customFormat="1" ht="14.25" customHeight="1">
      <c r="A340" s="38"/>
      <c r="B340" s="56"/>
      <c r="C340" s="155">
        <f>IF($B340&lt;&gt;"",VLOOKUP($B340,Matriz_INM,2,0),0)</f>
        <v>0</v>
      </c>
      <c r="D340" s="44"/>
      <c r="E340" s="44"/>
      <c r="F340" s="44"/>
      <c r="G340" s="44"/>
      <c r="H340" s="45"/>
      <c r="I340" s="156" t="str">
        <f>IFERROR(VLOOKUP($B340,Matriz_INM,3,0),"")</f>
        <v/>
      </c>
      <c r="J340" s="57"/>
      <c r="K340" s="57"/>
      <c r="L340" s="57"/>
      <c r="M340" s="44"/>
      <c r="N340" s="45" t="str">
        <f t="shared" si="30"/>
        <v/>
      </c>
      <c r="O340" s="45" t="str">
        <f t="shared" si="31"/>
        <v/>
      </c>
      <c r="P340" s="149" t="str">
        <f t="shared" si="32"/>
        <v/>
      </c>
      <c r="Q340" s="157">
        <f t="shared" si="33"/>
        <v>0</v>
      </c>
      <c r="R340" s="157">
        <f t="shared" si="34"/>
        <v>0</v>
      </c>
      <c r="S340" s="149">
        <f t="shared" si="35"/>
        <v>0</v>
      </c>
      <c r="T340" s="44"/>
    </row>
    <row r="341" spans="1:20" s="46" customFormat="1" ht="14.25" customHeight="1">
      <c r="A341" s="38"/>
      <c r="B341" s="56"/>
      <c r="C341" s="155">
        <f>IF($B341&lt;&gt;"",VLOOKUP($B341,Matriz_INM,2,0),0)</f>
        <v>0</v>
      </c>
      <c r="D341" s="44"/>
      <c r="E341" s="44"/>
      <c r="F341" s="44"/>
      <c r="G341" s="44"/>
      <c r="H341" s="45"/>
      <c r="I341" s="156" t="str">
        <f>IFERROR(VLOOKUP($B341,Matriz_INM,3,0),"")</f>
        <v/>
      </c>
      <c r="J341" s="57"/>
      <c r="K341" s="57"/>
      <c r="L341" s="57"/>
      <c r="M341" s="44"/>
      <c r="N341" s="45" t="str">
        <f t="shared" si="30"/>
        <v/>
      </c>
      <c r="O341" s="45" t="str">
        <f t="shared" si="31"/>
        <v/>
      </c>
      <c r="P341" s="149" t="str">
        <f t="shared" si="32"/>
        <v/>
      </c>
      <c r="Q341" s="157">
        <f t="shared" si="33"/>
        <v>0</v>
      </c>
      <c r="R341" s="157">
        <f t="shared" si="34"/>
        <v>0</v>
      </c>
      <c r="S341" s="149">
        <f t="shared" si="35"/>
        <v>0</v>
      </c>
      <c r="T341" s="44"/>
    </row>
    <row r="342" spans="1:20" s="46" customFormat="1" ht="14.25" customHeight="1">
      <c r="A342" s="38"/>
      <c r="B342" s="56"/>
      <c r="C342" s="155">
        <f>IF($B342&lt;&gt;"",VLOOKUP($B342,Matriz_INM,2,0),0)</f>
        <v>0</v>
      </c>
      <c r="D342" s="44"/>
      <c r="E342" s="44"/>
      <c r="F342" s="44"/>
      <c r="G342" s="44"/>
      <c r="H342" s="45"/>
      <c r="I342" s="156" t="str">
        <f>IFERROR(VLOOKUP($B342,Matriz_INM,3,0),"")</f>
        <v/>
      </c>
      <c r="J342" s="57"/>
      <c r="K342" s="57"/>
      <c r="L342" s="57"/>
      <c r="M342" s="44"/>
      <c r="N342" s="45" t="str">
        <f t="shared" si="30"/>
        <v/>
      </c>
      <c r="O342" s="45" t="str">
        <f t="shared" si="31"/>
        <v/>
      </c>
      <c r="P342" s="149" t="str">
        <f t="shared" si="32"/>
        <v/>
      </c>
      <c r="Q342" s="157">
        <f t="shared" si="33"/>
        <v>0</v>
      </c>
      <c r="R342" s="157">
        <f t="shared" si="34"/>
        <v>0</v>
      </c>
      <c r="S342" s="149">
        <f t="shared" si="35"/>
        <v>0</v>
      </c>
      <c r="T342" s="44"/>
    </row>
    <row r="343" spans="1:20" s="46" customFormat="1" ht="14.25" customHeight="1">
      <c r="A343" s="38"/>
      <c r="B343" s="56"/>
      <c r="C343" s="155">
        <f>IF($B343&lt;&gt;"",VLOOKUP($B343,Matriz_INM,2,0),0)</f>
        <v>0</v>
      </c>
      <c r="D343" s="44"/>
      <c r="E343" s="44"/>
      <c r="F343" s="44"/>
      <c r="G343" s="44"/>
      <c r="H343" s="45"/>
      <c r="I343" s="156" t="str">
        <f>IFERROR(VLOOKUP($B343,Matriz_INM,3,0),"")</f>
        <v/>
      </c>
      <c r="J343" s="57"/>
      <c r="K343" s="57"/>
      <c r="L343" s="57"/>
      <c r="M343" s="44"/>
      <c r="N343" s="45" t="str">
        <f t="shared" si="30"/>
        <v/>
      </c>
      <c r="O343" s="45" t="str">
        <f t="shared" si="31"/>
        <v/>
      </c>
      <c r="P343" s="149" t="str">
        <f t="shared" si="32"/>
        <v/>
      </c>
      <c r="Q343" s="157">
        <f t="shared" si="33"/>
        <v>0</v>
      </c>
      <c r="R343" s="157">
        <f t="shared" si="34"/>
        <v>0</v>
      </c>
      <c r="S343" s="149">
        <f t="shared" si="35"/>
        <v>0</v>
      </c>
      <c r="T343" s="44"/>
    </row>
    <row r="344" spans="1:20" s="46" customFormat="1" ht="14.25" customHeight="1">
      <c r="A344" s="38"/>
      <c r="B344" s="56"/>
      <c r="C344" s="155">
        <f>IF($B344&lt;&gt;"",VLOOKUP($B344,Matriz_INM,2,0),0)</f>
        <v>0</v>
      </c>
      <c r="D344" s="44"/>
      <c r="E344" s="44"/>
      <c r="F344" s="44"/>
      <c r="G344" s="44"/>
      <c r="H344" s="45"/>
      <c r="I344" s="156" t="str">
        <f>IFERROR(VLOOKUP($B344,Matriz_INM,3,0),"")</f>
        <v/>
      </c>
      <c r="J344" s="57"/>
      <c r="K344" s="57"/>
      <c r="L344" s="57"/>
      <c r="M344" s="44"/>
      <c r="N344" s="45" t="str">
        <f t="shared" si="30"/>
        <v/>
      </c>
      <c r="O344" s="45" t="str">
        <f t="shared" si="31"/>
        <v/>
      </c>
      <c r="P344" s="149" t="str">
        <f t="shared" si="32"/>
        <v/>
      </c>
      <c r="Q344" s="157">
        <f t="shared" si="33"/>
        <v>0</v>
      </c>
      <c r="R344" s="157">
        <f t="shared" si="34"/>
        <v>0</v>
      </c>
      <c r="S344" s="149">
        <f t="shared" si="35"/>
        <v>0</v>
      </c>
      <c r="T344" s="44"/>
    </row>
    <row r="345" spans="1:20" s="46" customFormat="1" ht="14.25" customHeight="1">
      <c r="A345" s="38"/>
      <c r="B345" s="56"/>
      <c r="C345" s="155">
        <f>IF($B345&lt;&gt;"",VLOOKUP($B345,Matriz_INM,2,0),0)</f>
        <v>0</v>
      </c>
      <c r="D345" s="44"/>
      <c r="E345" s="44"/>
      <c r="F345" s="44"/>
      <c r="G345" s="44"/>
      <c r="H345" s="45"/>
      <c r="I345" s="156" t="str">
        <f>IFERROR(VLOOKUP($B345,Matriz_INM,3,0),"")</f>
        <v/>
      </c>
      <c r="J345" s="57"/>
      <c r="K345" s="57"/>
      <c r="L345" s="57"/>
      <c r="M345" s="44"/>
      <c r="N345" s="45" t="str">
        <f t="shared" si="30"/>
        <v/>
      </c>
      <c r="O345" s="45" t="str">
        <f t="shared" si="31"/>
        <v/>
      </c>
      <c r="P345" s="149" t="str">
        <f t="shared" si="32"/>
        <v/>
      </c>
      <c r="Q345" s="157">
        <f t="shared" si="33"/>
        <v>0</v>
      </c>
      <c r="R345" s="157">
        <f t="shared" si="34"/>
        <v>0</v>
      </c>
      <c r="S345" s="149">
        <f t="shared" si="35"/>
        <v>0</v>
      </c>
      <c r="T345" s="44"/>
    </row>
    <row r="346" spans="1:20" s="46" customFormat="1" ht="14.25" customHeight="1">
      <c r="A346" s="38"/>
      <c r="B346" s="56"/>
      <c r="C346" s="155">
        <f>IF($B346&lt;&gt;"",VLOOKUP($B346,Matriz_INM,2,0),0)</f>
        <v>0</v>
      </c>
      <c r="D346" s="44"/>
      <c r="E346" s="44"/>
      <c r="F346" s="44"/>
      <c r="G346" s="44"/>
      <c r="H346" s="45"/>
      <c r="I346" s="156" t="str">
        <f>IFERROR(VLOOKUP($B346,Matriz_INM,3,0),"")</f>
        <v/>
      </c>
      <c r="J346" s="57"/>
      <c r="K346" s="57"/>
      <c r="L346" s="57"/>
      <c r="M346" s="44"/>
      <c r="N346" s="45" t="str">
        <f t="shared" si="30"/>
        <v/>
      </c>
      <c r="O346" s="45" t="str">
        <f t="shared" si="31"/>
        <v/>
      </c>
      <c r="P346" s="149" t="str">
        <f t="shared" si="32"/>
        <v/>
      </c>
      <c r="Q346" s="157">
        <f t="shared" si="33"/>
        <v>0</v>
      </c>
      <c r="R346" s="157">
        <f t="shared" si="34"/>
        <v>0</v>
      </c>
      <c r="S346" s="149">
        <f t="shared" si="35"/>
        <v>0</v>
      </c>
      <c r="T346" s="44"/>
    </row>
    <row r="347" spans="1:20" s="46" customFormat="1" ht="14.25" customHeight="1">
      <c r="A347" s="38"/>
      <c r="B347" s="56"/>
      <c r="C347" s="155">
        <f>IF($B347&lt;&gt;"",VLOOKUP($B347,Matriz_INM,2,0),0)</f>
        <v>0</v>
      </c>
      <c r="D347" s="44"/>
      <c r="E347" s="44"/>
      <c r="F347" s="44"/>
      <c r="G347" s="44"/>
      <c r="H347" s="45"/>
      <c r="I347" s="156" t="str">
        <f>IFERROR(VLOOKUP($B347,Matriz_INM,3,0),"")</f>
        <v/>
      </c>
      <c r="J347" s="57"/>
      <c r="K347" s="57"/>
      <c r="L347" s="57"/>
      <c r="M347" s="44"/>
      <c r="N347" s="45" t="str">
        <f t="shared" si="30"/>
        <v/>
      </c>
      <c r="O347" s="45" t="str">
        <f t="shared" si="31"/>
        <v/>
      </c>
      <c r="P347" s="149" t="str">
        <f t="shared" si="32"/>
        <v/>
      </c>
      <c r="Q347" s="157">
        <f t="shared" si="33"/>
        <v>0</v>
      </c>
      <c r="R347" s="157">
        <f t="shared" si="34"/>
        <v>0</v>
      </c>
      <c r="S347" s="149">
        <f t="shared" si="35"/>
        <v>0</v>
      </c>
      <c r="T347" s="44"/>
    </row>
    <row r="348" spans="1:20" s="46" customFormat="1" ht="14.25" customHeight="1">
      <c r="A348" s="38"/>
      <c r="B348" s="56"/>
      <c r="C348" s="155">
        <f>IF($B348&lt;&gt;"",VLOOKUP($B348,Matriz_INM,2,0),0)</f>
        <v>0</v>
      </c>
      <c r="D348" s="44"/>
      <c r="E348" s="44"/>
      <c r="F348" s="44"/>
      <c r="G348" s="44"/>
      <c r="H348" s="45"/>
      <c r="I348" s="156" t="str">
        <f>IFERROR(VLOOKUP($B348,Matriz_INM,3,0),"")</f>
        <v/>
      </c>
      <c r="J348" s="57"/>
      <c r="K348" s="57"/>
      <c r="L348" s="57"/>
      <c r="M348" s="44"/>
      <c r="N348" s="45" t="str">
        <f t="shared" si="30"/>
        <v/>
      </c>
      <c r="O348" s="45" t="str">
        <f t="shared" si="31"/>
        <v/>
      </c>
      <c r="P348" s="149" t="str">
        <f t="shared" si="32"/>
        <v/>
      </c>
      <c r="Q348" s="157">
        <f t="shared" si="33"/>
        <v>0</v>
      </c>
      <c r="R348" s="157">
        <f t="shared" si="34"/>
        <v>0</v>
      </c>
      <c r="S348" s="149">
        <f t="shared" si="35"/>
        <v>0</v>
      </c>
      <c r="T348" s="44"/>
    </row>
    <row r="349" spans="1:20" s="46" customFormat="1" ht="14.25" customHeight="1">
      <c r="A349" s="38"/>
      <c r="B349" s="56"/>
      <c r="C349" s="155">
        <f>IF($B349&lt;&gt;"",VLOOKUP($B349,Matriz_INM,2,0),0)</f>
        <v>0</v>
      </c>
      <c r="D349" s="44"/>
      <c r="E349" s="44"/>
      <c r="F349" s="44"/>
      <c r="G349" s="44"/>
      <c r="H349" s="45"/>
      <c r="I349" s="156" t="str">
        <f>IFERROR(VLOOKUP($B349,Matriz_INM,3,0),"")</f>
        <v/>
      </c>
      <c r="J349" s="57"/>
      <c r="K349" s="57"/>
      <c r="L349" s="57"/>
      <c r="M349" s="44"/>
      <c r="N349" s="45" t="str">
        <f t="shared" si="30"/>
        <v/>
      </c>
      <c r="O349" s="45" t="str">
        <f t="shared" si="31"/>
        <v/>
      </c>
      <c r="P349" s="149" t="str">
        <f t="shared" si="32"/>
        <v/>
      </c>
      <c r="Q349" s="157">
        <f t="shared" si="33"/>
        <v>0</v>
      </c>
      <c r="R349" s="157">
        <f t="shared" si="34"/>
        <v>0</v>
      </c>
      <c r="S349" s="149">
        <f t="shared" si="35"/>
        <v>0</v>
      </c>
      <c r="T349" s="44"/>
    </row>
    <row r="350" spans="1:20" s="46" customFormat="1" ht="14.25" customHeight="1">
      <c r="A350" s="38"/>
      <c r="B350" s="56"/>
      <c r="C350" s="155">
        <f>IF($B350&lt;&gt;"",VLOOKUP($B350,Matriz_INM,2,0),0)</f>
        <v>0</v>
      </c>
      <c r="D350" s="44"/>
      <c r="E350" s="44"/>
      <c r="F350" s="44"/>
      <c r="G350" s="44"/>
      <c r="H350" s="45"/>
      <c r="I350" s="156" t="str">
        <f>IFERROR(VLOOKUP($B350,Matriz_INM,3,0),"")</f>
        <v/>
      </c>
      <c r="J350" s="57"/>
      <c r="K350" s="57"/>
      <c r="L350" s="57"/>
      <c r="M350" s="44"/>
      <c r="N350" s="45" t="str">
        <f t="shared" si="30"/>
        <v/>
      </c>
      <c r="O350" s="45" t="str">
        <f t="shared" si="31"/>
        <v/>
      </c>
      <c r="P350" s="149" t="str">
        <f t="shared" si="32"/>
        <v/>
      </c>
      <c r="Q350" s="157">
        <f t="shared" si="33"/>
        <v>0</v>
      </c>
      <c r="R350" s="157">
        <f t="shared" si="34"/>
        <v>0</v>
      </c>
      <c r="S350" s="149">
        <f t="shared" si="35"/>
        <v>0</v>
      </c>
      <c r="T350" s="44"/>
    </row>
    <row r="351" spans="1:20" s="46" customFormat="1" ht="14.25" customHeight="1">
      <c r="A351" s="38"/>
      <c r="B351" s="56"/>
      <c r="C351" s="155">
        <f>IF($B351&lt;&gt;"",VLOOKUP($B351,Matriz_INM,2,0),0)</f>
        <v>0</v>
      </c>
      <c r="D351" s="44"/>
      <c r="E351" s="44"/>
      <c r="F351" s="44"/>
      <c r="G351" s="44"/>
      <c r="H351" s="45"/>
      <c r="I351" s="156" t="str">
        <f>IFERROR(VLOOKUP($B351,Matriz_INM,3,0),"")</f>
        <v/>
      </c>
      <c r="J351" s="57"/>
      <c r="K351" s="57"/>
      <c r="L351" s="57"/>
      <c r="M351" s="44"/>
      <c r="N351" s="45" t="str">
        <f t="shared" si="30"/>
        <v/>
      </c>
      <c r="O351" s="45" t="str">
        <f t="shared" si="31"/>
        <v/>
      </c>
      <c r="P351" s="149" t="str">
        <f t="shared" si="32"/>
        <v/>
      </c>
      <c r="Q351" s="157">
        <f t="shared" si="33"/>
        <v>0</v>
      </c>
      <c r="R351" s="157">
        <f t="shared" si="34"/>
        <v>0</v>
      </c>
      <c r="S351" s="149">
        <f t="shared" si="35"/>
        <v>0</v>
      </c>
      <c r="T351" s="44"/>
    </row>
    <row r="352" spans="1:20" s="46" customFormat="1" ht="14.25" customHeight="1">
      <c r="A352" s="38"/>
      <c r="B352" s="56"/>
      <c r="C352" s="155">
        <f>IF($B352&lt;&gt;"",VLOOKUP($B352,Matriz_INM,2,0),0)</f>
        <v>0</v>
      </c>
      <c r="D352" s="44"/>
      <c r="E352" s="44"/>
      <c r="F352" s="44"/>
      <c r="G352" s="44"/>
      <c r="H352" s="45"/>
      <c r="I352" s="156" t="str">
        <f>IFERROR(VLOOKUP($B352,Matriz_INM,3,0),"")</f>
        <v/>
      </c>
      <c r="J352" s="57"/>
      <c r="K352" s="57"/>
      <c r="L352" s="57"/>
      <c r="M352" s="44"/>
      <c r="N352" s="45" t="str">
        <f t="shared" si="30"/>
        <v/>
      </c>
      <c r="O352" s="45" t="str">
        <f t="shared" si="31"/>
        <v/>
      </c>
      <c r="P352" s="149" t="str">
        <f t="shared" si="32"/>
        <v/>
      </c>
      <c r="Q352" s="157">
        <f t="shared" si="33"/>
        <v>0</v>
      </c>
      <c r="R352" s="157">
        <f t="shared" si="34"/>
        <v>0</v>
      </c>
      <c r="S352" s="149">
        <f t="shared" si="35"/>
        <v>0</v>
      </c>
      <c r="T352" s="44"/>
    </row>
    <row r="353" spans="1:20" s="46" customFormat="1" ht="14.25" customHeight="1">
      <c r="A353" s="38"/>
      <c r="B353" s="56"/>
      <c r="C353" s="155">
        <f>IF($B353&lt;&gt;"",VLOOKUP($B353,Matriz_INM,2,0),0)</f>
        <v>0</v>
      </c>
      <c r="D353" s="44"/>
      <c r="E353" s="44"/>
      <c r="F353" s="44"/>
      <c r="G353" s="44"/>
      <c r="H353" s="45"/>
      <c r="I353" s="156" t="str">
        <f>IFERROR(VLOOKUP($B353,Matriz_INM,3,0),"")</f>
        <v/>
      </c>
      <c r="J353" s="57"/>
      <c r="K353" s="57"/>
      <c r="L353" s="57"/>
      <c r="M353" s="44"/>
      <c r="N353" s="45" t="str">
        <f t="shared" si="30"/>
        <v/>
      </c>
      <c r="O353" s="45" t="str">
        <f t="shared" si="31"/>
        <v/>
      </c>
      <c r="P353" s="149" t="str">
        <f t="shared" si="32"/>
        <v/>
      </c>
      <c r="Q353" s="157">
        <f t="shared" si="33"/>
        <v>0</v>
      </c>
      <c r="R353" s="157">
        <f t="shared" si="34"/>
        <v>0</v>
      </c>
      <c r="S353" s="149">
        <f t="shared" si="35"/>
        <v>0</v>
      </c>
      <c r="T353" s="44"/>
    </row>
    <row r="354" spans="1:20" s="46" customFormat="1" ht="14.25" customHeight="1">
      <c r="A354" s="38"/>
      <c r="B354" s="56"/>
      <c r="C354" s="155">
        <f>IF($B354&lt;&gt;"",VLOOKUP($B354,Matriz_INM,2,0),0)</f>
        <v>0</v>
      </c>
      <c r="D354" s="44"/>
      <c r="E354" s="44"/>
      <c r="F354" s="44"/>
      <c r="G354" s="44"/>
      <c r="H354" s="45"/>
      <c r="I354" s="156" t="str">
        <f>IFERROR(VLOOKUP($B354,Matriz_INM,3,0),"")</f>
        <v/>
      </c>
      <c r="J354" s="57"/>
      <c r="K354" s="57"/>
      <c r="L354" s="57"/>
      <c r="M354" s="44"/>
      <c r="N354" s="45" t="str">
        <f t="shared" si="30"/>
        <v/>
      </c>
      <c r="O354" s="45" t="str">
        <f t="shared" si="31"/>
        <v/>
      </c>
      <c r="P354" s="149" t="str">
        <f t="shared" si="32"/>
        <v/>
      </c>
      <c r="Q354" s="157">
        <f t="shared" si="33"/>
        <v>0</v>
      </c>
      <c r="R354" s="157">
        <f t="shared" si="34"/>
        <v>0</v>
      </c>
      <c r="S354" s="149">
        <f t="shared" si="35"/>
        <v>0</v>
      </c>
      <c r="T354" s="44"/>
    </row>
    <row r="355" spans="1:20" s="46" customFormat="1" ht="14.25" customHeight="1">
      <c r="A355" s="38"/>
      <c r="B355" s="56"/>
      <c r="C355" s="155">
        <f>IF($B355&lt;&gt;"",VLOOKUP($B355,Matriz_INM,2,0),0)</f>
        <v>0</v>
      </c>
      <c r="D355" s="44"/>
      <c r="E355" s="44"/>
      <c r="F355" s="44"/>
      <c r="G355" s="44"/>
      <c r="H355" s="45"/>
      <c r="I355" s="156" t="str">
        <f>IFERROR(VLOOKUP($B355,Matriz_INM,3,0),"")</f>
        <v/>
      </c>
      <c r="J355" s="57"/>
      <c r="K355" s="57"/>
      <c r="L355" s="57"/>
      <c r="M355" s="44"/>
      <c r="N355" s="45" t="str">
        <f t="shared" si="30"/>
        <v/>
      </c>
      <c r="O355" s="45" t="str">
        <f t="shared" si="31"/>
        <v/>
      </c>
      <c r="P355" s="149" t="str">
        <f t="shared" si="32"/>
        <v/>
      </c>
      <c r="Q355" s="157">
        <f t="shared" si="33"/>
        <v>0</v>
      </c>
      <c r="R355" s="157">
        <f t="shared" si="34"/>
        <v>0</v>
      </c>
      <c r="S355" s="149">
        <f t="shared" si="35"/>
        <v>0</v>
      </c>
      <c r="T355" s="44"/>
    </row>
    <row r="356" spans="1:20" s="46" customFormat="1" ht="14.25" customHeight="1">
      <c r="A356" s="38"/>
      <c r="B356" s="56"/>
      <c r="C356" s="155">
        <f>IF($B356&lt;&gt;"",VLOOKUP($B356,Matriz_INM,2,0),0)</f>
        <v>0</v>
      </c>
      <c r="D356" s="44"/>
      <c r="E356" s="44"/>
      <c r="F356" s="44"/>
      <c r="G356" s="44"/>
      <c r="H356" s="45"/>
      <c r="I356" s="156" t="str">
        <f>IFERROR(VLOOKUP($B356,Matriz_INM,3,0),"")</f>
        <v/>
      </c>
      <c r="J356" s="57"/>
      <c r="K356" s="57"/>
      <c r="L356" s="57"/>
      <c r="M356" s="44"/>
      <c r="N356" s="45" t="str">
        <f t="shared" si="30"/>
        <v/>
      </c>
      <c r="O356" s="45" t="str">
        <f t="shared" si="31"/>
        <v/>
      </c>
      <c r="P356" s="149" t="str">
        <f t="shared" si="32"/>
        <v/>
      </c>
      <c r="Q356" s="157">
        <f t="shared" si="33"/>
        <v>0</v>
      </c>
      <c r="R356" s="157">
        <f t="shared" si="34"/>
        <v>0</v>
      </c>
      <c r="S356" s="149">
        <f t="shared" si="35"/>
        <v>0</v>
      </c>
      <c r="T356" s="44"/>
    </row>
    <row r="357" spans="1:20" s="46" customFormat="1" ht="14.25" customHeight="1">
      <c r="A357" s="38"/>
      <c r="B357" s="56"/>
      <c r="C357" s="155">
        <f>IF($B357&lt;&gt;"",VLOOKUP($B357,Matriz_INM,2,0),0)</f>
        <v>0</v>
      </c>
      <c r="D357" s="44"/>
      <c r="E357" s="44"/>
      <c r="F357" s="44"/>
      <c r="G357" s="44"/>
      <c r="H357" s="45"/>
      <c r="I357" s="156" t="str">
        <f>IFERROR(VLOOKUP($B357,Matriz_INM,3,0),"")</f>
        <v/>
      </c>
      <c r="J357" s="57"/>
      <c r="K357" s="57"/>
      <c r="L357" s="57"/>
      <c r="M357" s="44"/>
      <c r="N357" s="45" t="str">
        <f t="shared" si="30"/>
        <v/>
      </c>
      <c r="O357" s="45" t="str">
        <f t="shared" si="31"/>
        <v/>
      </c>
      <c r="P357" s="149" t="str">
        <f t="shared" si="32"/>
        <v/>
      </c>
      <c r="Q357" s="157">
        <f t="shared" si="33"/>
        <v>0</v>
      </c>
      <c r="R357" s="157">
        <f t="shared" si="34"/>
        <v>0</v>
      </c>
      <c r="S357" s="149">
        <f t="shared" si="35"/>
        <v>0</v>
      </c>
      <c r="T357" s="44"/>
    </row>
    <row r="358" spans="1:20" s="46" customFormat="1" ht="14.25" customHeight="1">
      <c r="A358" s="38"/>
      <c r="B358" s="56"/>
      <c r="C358" s="155">
        <f>IF($B358&lt;&gt;"",VLOOKUP($B358,Matriz_INM,2,0),0)</f>
        <v>0</v>
      </c>
      <c r="D358" s="44"/>
      <c r="E358" s="44"/>
      <c r="F358" s="44"/>
      <c r="G358" s="44"/>
      <c r="H358" s="45"/>
      <c r="I358" s="156" t="str">
        <f>IFERROR(VLOOKUP($B358,Matriz_INM,3,0),"")</f>
        <v/>
      </c>
      <c r="J358" s="57"/>
      <c r="K358" s="57"/>
      <c r="L358" s="57"/>
      <c r="M358" s="44"/>
      <c r="N358" s="45" t="str">
        <f t="shared" si="30"/>
        <v/>
      </c>
      <c r="O358" s="45" t="str">
        <f t="shared" si="31"/>
        <v/>
      </c>
      <c r="P358" s="149" t="str">
        <f t="shared" si="32"/>
        <v/>
      </c>
      <c r="Q358" s="157">
        <f t="shared" si="33"/>
        <v>0</v>
      </c>
      <c r="R358" s="157">
        <f t="shared" si="34"/>
        <v>0</v>
      </c>
      <c r="S358" s="149">
        <f t="shared" si="35"/>
        <v>0</v>
      </c>
      <c r="T358" s="44"/>
    </row>
    <row r="359" spans="1:20" s="46" customFormat="1" ht="14.25" customHeight="1">
      <c r="A359" s="38"/>
      <c r="B359" s="56"/>
      <c r="C359" s="155">
        <f>IF($B359&lt;&gt;"",VLOOKUP($B359,Matriz_INM,2,0),0)</f>
        <v>0</v>
      </c>
      <c r="D359" s="44"/>
      <c r="E359" s="44"/>
      <c r="F359" s="44"/>
      <c r="G359" s="44"/>
      <c r="H359" s="45"/>
      <c r="I359" s="156" t="str">
        <f>IFERROR(VLOOKUP($B359,Matriz_INM,3,0),"")</f>
        <v/>
      </c>
      <c r="J359" s="57"/>
      <c r="K359" s="57"/>
      <c r="L359" s="57"/>
      <c r="M359" s="44"/>
      <c r="N359" s="45" t="str">
        <f t="shared" si="30"/>
        <v/>
      </c>
      <c r="O359" s="45" t="str">
        <f t="shared" si="31"/>
        <v/>
      </c>
      <c r="P359" s="149" t="str">
        <f t="shared" si="32"/>
        <v/>
      </c>
      <c r="Q359" s="157">
        <f t="shared" si="33"/>
        <v>0</v>
      </c>
      <c r="R359" s="157">
        <f t="shared" si="34"/>
        <v>0</v>
      </c>
      <c r="S359" s="149">
        <f t="shared" si="35"/>
        <v>0</v>
      </c>
      <c r="T359" s="44"/>
    </row>
    <row r="360" spans="1:20" s="46" customFormat="1" ht="14.25" customHeight="1">
      <c r="A360" s="38"/>
      <c r="B360" s="56"/>
      <c r="C360" s="155">
        <f>IF($B360&lt;&gt;"",VLOOKUP($B360,Matriz_INM,2,0),0)</f>
        <v>0</v>
      </c>
      <c r="D360" s="44"/>
      <c r="E360" s="44"/>
      <c r="F360" s="44"/>
      <c r="G360" s="44"/>
      <c r="H360" s="45"/>
      <c r="I360" s="156" t="str">
        <f>IFERROR(VLOOKUP($B360,Matriz_INM,3,0),"")</f>
        <v/>
      </c>
      <c r="J360" s="57"/>
      <c r="K360" s="57"/>
      <c r="L360" s="57"/>
      <c r="M360" s="44"/>
      <c r="N360" s="45" t="str">
        <f t="shared" si="30"/>
        <v/>
      </c>
      <c r="O360" s="45" t="str">
        <f t="shared" si="31"/>
        <v/>
      </c>
      <c r="P360" s="149" t="str">
        <f t="shared" si="32"/>
        <v/>
      </c>
      <c r="Q360" s="157">
        <f t="shared" si="33"/>
        <v>0</v>
      </c>
      <c r="R360" s="157">
        <f t="shared" si="34"/>
        <v>0</v>
      </c>
      <c r="S360" s="149">
        <f t="shared" si="35"/>
        <v>0</v>
      </c>
      <c r="T360" s="44"/>
    </row>
    <row r="361" spans="1:20" s="46" customFormat="1" ht="14.25" customHeight="1">
      <c r="A361" s="38"/>
      <c r="B361" s="56"/>
      <c r="C361" s="155">
        <f>IF($B361&lt;&gt;"",VLOOKUP($B361,Matriz_INM,2,0),0)</f>
        <v>0</v>
      </c>
      <c r="D361" s="44"/>
      <c r="E361" s="44"/>
      <c r="F361" s="44"/>
      <c r="G361" s="44"/>
      <c r="H361" s="45"/>
      <c r="I361" s="156" t="str">
        <f>IFERROR(VLOOKUP($B361,Matriz_INM,3,0),"")</f>
        <v/>
      </c>
      <c r="J361" s="57"/>
      <c r="K361" s="57"/>
      <c r="L361" s="57"/>
      <c r="M361" s="44"/>
      <c r="N361" s="45" t="str">
        <f t="shared" si="30"/>
        <v/>
      </c>
      <c r="O361" s="45" t="str">
        <f t="shared" si="31"/>
        <v/>
      </c>
      <c r="P361" s="149" t="str">
        <f t="shared" si="32"/>
        <v/>
      </c>
      <c r="Q361" s="157">
        <f t="shared" si="33"/>
        <v>0</v>
      </c>
      <c r="R361" s="157">
        <f t="shared" si="34"/>
        <v>0</v>
      </c>
      <c r="S361" s="149">
        <f t="shared" si="35"/>
        <v>0</v>
      </c>
      <c r="T361" s="44"/>
    </row>
    <row r="362" spans="1:20" s="46" customFormat="1" ht="14.25" customHeight="1">
      <c r="A362" s="38"/>
      <c r="B362" s="56"/>
      <c r="C362" s="155">
        <f>IF($B362&lt;&gt;"",VLOOKUP($B362,Matriz_INM,2,0),0)</f>
        <v>0</v>
      </c>
      <c r="D362" s="44"/>
      <c r="E362" s="44"/>
      <c r="F362" s="44"/>
      <c r="G362" s="44"/>
      <c r="H362" s="45"/>
      <c r="I362" s="156" t="str">
        <f>IFERROR(VLOOKUP($B362,Matriz_INM,3,0),"")</f>
        <v/>
      </c>
      <c r="J362" s="57"/>
      <c r="K362" s="57"/>
      <c r="L362" s="57"/>
      <c r="M362" s="44"/>
      <c r="N362" s="45" t="str">
        <f t="shared" si="30"/>
        <v/>
      </c>
      <c r="O362" s="45" t="str">
        <f t="shared" si="31"/>
        <v/>
      </c>
      <c r="P362" s="149" t="str">
        <f t="shared" si="32"/>
        <v/>
      </c>
      <c r="Q362" s="157">
        <f t="shared" si="33"/>
        <v>0</v>
      </c>
      <c r="R362" s="157">
        <f t="shared" si="34"/>
        <v>0</v>
      </c>
      <c r="S362" s="149">
        <f t="shared" si="35"/>
        <v>0</v>
      </c>
      <c r="T362" s="44"/>
    </row>
    <row r="363" spans="1:20" s="46" customFormat="1" ht="14.25" customHeight="1">
      <c r="A363" s="38"/>
      <c r="B363" s="56"/>
      <c r="C363" s="155">
        <f>IF($B363&lt;&gt;"",VLOOKUP($B363,Matriz_INM,2,0),0)</f>
        <v>0</v>
      </c>
      <c r="D363" s="44"/>
      <c r="E363" s="44"/>
      <c r="F363" s="44"/>
      <c r="G363" s="44"/>
      <c r="H363" s="45"/>
      <c r="I363" s="156" t="str">
        <f>IFERROR(VLOOKUP($B363,Matriz_INM,3,0),"")</f>
        <v/>
      </c>
      <c r="J363" s="57"/>
      <c r="K363" s="57"/>
      <c r="L363" s="57"/>
      <c r="M363" s="44"/>
      <c r="N363" s="45" t="str">
        <f t="shared" si="30"/>
        <v/>
      </c>
      <c r="O363" s="45" t="str">
        <f t="shared" si="31"/>
        <v/>
      </c>
      <c r="P363" s="149" t="str">
        <f t="shared" si="32"/>
        <v/>
      </c>
      <c r="Q363" s="157">
        <f t="shared" si="33"/>
        <v>0</v>
      </c>
      <c r="R363" s="157">
        <f t="shared" si="34"/>
        <v>0</v>
      </c>
      <c r="S363" s="149">
        <f t="shared" si="35"/>
        <v>0</v>
      </c>
      <c r="T363" s="44"/>
    </row>
    <row r="364" spans="1:20" s="46" customFormat="1" ht="14.25" customHeight="1">
      <c r="A364" s="38"/>
      <c r="B364" s="56"/>
      <c r="C364" s="155">
        <f>IF($B364&lt;&gt;"",VLOOKUP($B364,Matriz_INM,2,0),0)</f>
        <v>0</v>
      </c>
      <c r="D364" s="44"/>
      <c r="E364" s="44"/>
      <c r="F364" s="44"/>
      <c r="G364" s="44"/>
      <c r="H364" s="45"/>
      <c r="I364" s="156" t="str">
        <f>IFERROR(VLOOKUP($B364,Matriz_INM,3,0),"")</f>
        <v/>
      </c>
      <c r="J364" s="57"/>
      <c r="K364" s="57"/>
      <c r="L364" s="57"/>
      <c r="M364" s="44"/>
      <c r="N364" s="45" t="str">
        <f t="shared" si="30"/>
        <v/>
      </c>
      <c r="O364" s="45" t="str">
        <f t="shared" si="31"/>
        <v/>
      </c>
      <c r="P364" s="149" t="str">
        <f t="shared" si="32"/>
        <v/>
      </c>
      <c r="Q364" s="157">
        <f t="shared" si="33"/>
        <v>0</v>
      </c>
      <c r="R364" s="157">
        <f t="shared" si="34"/>
        <v>0</v>
      </c>
      <c r="S364" s="149">
        <f t="shared" si="35"/>
        <v>0</v>
      </c>
      <c r="T364" s="44"/>
    </row>
    <row r="365" spans="1:20" s="46" customFormat="1" ht="14.25" customHeight="1">
      <c r="A365" s="38"/>
      <c r="B365" s="56"/>
      <c r="C365" s="155">
        <f>IF($B365&lt;&gt;"",VLOOKUP($B365,Matriz_INM,2,0),0)</f>
        <v>0</v>
      </c>
      <c r="D365" s="44"/>
      <c r="E365" s="44"/>
      <c r="F365" s="44"/>
      <c r="G365" s="44"/>
      <c r="H365" s="45"/>
      <c r="I365" s="156" t="str">
        <f>IFERROR(VLOOKUP($B365,Matriz_INM,3,0),"")</f>
        <v/>
      </c>
      <c r="J365" s="57"/>
      <c r="K365" s="57"/>
      <c r="L365" s="57"/>
      <c r="M365" s="44"/>
      <c r="N365" s="45" t="str">
        <f t="shared" si="30"/>
        <v/>
      </c>
      <c r="O365" s="45" t="str">
        <f t="shared" si="31"/>
        <v/>
      </c>
      <c r="P365" s="149" t="str">
        <f t="shared" si="32"/>
        <v/>
      </c>
      <c r="Q365" s="157">
        <f t="shared" si="33"/>
        <v>0</v>
      </c>
      <c r="R365" s="157">
        <f t="shared" si="34"/>
        <v>0</v>
      </c>
      <c r="S365" s="149">
        <f t="shared" si="35"/>
        <v>0</v>
      </c>
      <c r="T365" s="44"/>
    </row>
    <row r="366" spans="1:20" s="46" customFormat="1" ht="14.25" customHeight="1">
      <c r="A366" s="38"/>
      <c r="B366" s="56"/>
      <c r="C366" s="155">
        <f>IF($B366&lt;&gt;"",VLOOKUP($B366,Matriz_INM,2,0),0)</f>
        <v>0</v>
      </c>
      <c r="D366" s="44"/>
      <c r="E366" s="44"/>
      <c r="F366" s="44"/>
      <c r="G366" s="44"/>
      <c r="H366" s="45"/>
      <c r="I366" s="156" t="str">
        <f>IFERROR(VLOOKUP($B366,Matriz_INM,3,0),"")</f>
        <v/>
      </c>
      <c r="J366" s="57"/>
      <c r="K366" s="57"/>
      <c r="L366" s="57"/>
      <c r="M366" s="44"/>
      <c r="N366" s="45" t="str">
        <f t="shared" si="30"/>
        <v/>
      </c>
      <c r="O366" s="45" t="str">
        <f t="shared" si="31"/>
        <v/>
      </c>
      <c r="P366" s="149" t="str">
        <f t="shared" si="32"/>
        <v/>
      </c>
      <c r="Q366" s="157">
        <f t="shared" si="33"/>
        <v>0</v>
      </c>
      <c r="R366" s="157">
        <f t="shared" si="34"/>
        <v>0</v>
      </c>
      <c r="S366" s="149">
        <f t="shared" si="35"/>
        <v>0</v>
      </c>
      <c r="T366" s="44"/>
    </row>
    <row r="367" spans="1:20" s="46" customFormat="1" ht="14.25" customHeight="1">
      <c r="A367" s="38"/>
      <c r="B367" s="56"/>
      <c r="C367" s="155">
        <f>IF($B367&lt;&gt;"",VLOOKUP($B367,Matriz_INM,2,0),0)</f>
        <v>0</v>
      </c>
      <c r="D367" s="44"/>
      <c r="E367" s="44"/>
      <c r="F367" s="44"/>
      <c r="G367" s="44"/>
      <c r="H367" s="45"/>
      <c r="I367" s="156" t="str">
        <f>IFERROR(VLOOKUP($B367,Matriz_INM,3,0),"")</f>
        <v/>
      </c>
      <c r="J367" s="57"/>
      <c r="K367" s="57"/>
      <c r="L367" s="57"/>
      <c r="M367" s="44"/>
      <c r="N367" s="45" t="str">
        <f t="shared" si="30"/>
        <v/>
      </c>
      <c r="O367" s="45" t="str">
        <f t="shared" si="31"/>
        <v/>
      </c>
      <c r="P367" s="149" t="str">
        <f t="shared" si="32"/>
        <v/>
      </c>
      <c r="Q367" s="157">
        <f t="shared" si="33"/>
        <v>0</v>
      </c>
      <c r="R367" s="157">
        <f t="shared" si="34"/>
        <v>0</v>
      </c>
      <c r="S367" s="149">
        <f t="shared" si="35"/>
        <v>0</v>
      </c>
      <c r="T367" s="44"/>
    </row>
    <row r="368" spans="1:20" s="46" customFormat="1" ht="14.25" customHeight="1">
      <c r="A368" s="38"/>
      <c r="B368" s="56"/>
      <c r="C368" s="155">
        <f>IF($B368&lt;&gt;"",VLOOKUP($B368,Matriz_INM,2,0),0)</f>
        <v>0</v>
      </c>
      <c r="D368" s="44"/>
      <c r="E368" s="44"/>
      <c r="F368" s="44"/>
      <c r="G368" s="44"/>
      <c r="H368" s="45"/>
      <c r="I368" s="156" t="str">
        <f>IFERROR(VLOOKUP($B368,Matriz_INM,3,0),"")</f>
        <v/>
      </c>
      <c r="J368" s="57"/>
      <c r="K368" s="57"/>
      <c r="L368" s="57"/>
      <c r="M368" s="44"/>
      <c r="N368" s="45" t="str">
        <f t="shared" si="30"/>
        <v/>
      </c>
      <c r="O368" s="45" t="str">
        <f t="shared" si="31"/>
        <v/>
      </c>
      <c r="P368" s="149" t="str">
        <f t="shared" si="32"/>
        <v/>
      </c>
      <c r="Q368" s="157">
        <f t="shared" si="33"/>
        <v>0</v>
      </c>
      <c r="R368" s="157">
        <f t="shared" si="34"/>
        <v>0</v>
      </c>
      <c r="S368" s="149">
        <f t="shared" si="35"/>
        <v>0</v>
      </c>
      <c r="T368" s="44"/>
    </row>
    <row r="369" spans="1:20" s="46" customFormat="1" ht="14.25" customHeight="1">
      <c r="A369" s="38"/>
      <c r="B369" s="56"/>
      <c r="C369" s="155">
        <f>IF($B369&lt;&gt;"",VLOOKUP($B369,Matriz_INM,2,0),0)</f>
        <v>0</v>
      </c>
      <c r="D369" s="44"/>
      <c r="E369" s="44"/>
      <c r="F369" s="44"/>
      <c r="G369" s="44"/>
      <c r="H369" s="45"/>
      <c r="I369" s="156" t="str">
        <f>IFERROR(VLOOKUP($B369,Matriz_INM,3,0),"")</f>
        <v/>
      </c>
      <c r="J369" s="57"/>
      <c r="K369" s="57"/>
      <c r="L369" s="57"/>
      <c r="M369" s="44"/>
      <c r="N369" s="45" t="str">
        <f t="shared" si="30"/>
        <v/>
      </c>
      <c r="O369" s="45" t="str">
        <f t="shared" si="31"/>
        <v/>
      </c>
      <c r="P369" s="149" t="str">
        <f t="shared" si="32"/>
        <v/>
      </c>
      <c r="Q369" s="157">
        <f t="shared" si="33"/>
        <v>0</v>
      </c>
      <c r="R369" s="157">
        <f t="shared" si="34"/>
        <v>0</v>
      </c>
      <c r="S369" s="149">
        <f t="shared" si="35"/>
        <v>0</v>
      </c>
      <c r="T369" s="44"/>
    </row>
    <row r="370" spans="1:20" s="46" customFormat="1" ht="14.25" customHeight="1">
      <c r="A370" s="38"/>
      <c r="B370" s="56"/>
      <c r="C370" s="155">
        <f>IF($B370&lt;&gt;"",VLOOKUP($B370,Matriz_INM,2,0),0)</f>
        <v>0</v>
      </c>
      <c r="D370" s="44"/>
      <c r="E370" s="44"/>
      <c r="F370" s="44"/>
      <c r="G370" s="44"/>
      <c r="H370" s="45"/>
      <c r="I370" s="156" t="str">
        <f>IFERROR(VLOOKUP($B370,Matriz_INM,3,0),"")</f>
        <v/>
      </c>
      <c r="J370" s="57"/>
      <c r="K370" s="57"/>
      <c r="L370" s="57"/>
      <c r="M370" s="44"/>
      <c r="N370" s="45" t="str">
        <f t="shared" si="30"/>
        <v/>
      </c>
      <c r="O370" s="45" t="str">
        <f t="shared" si="31"/>
        <v/>
      </c>
      <c r="P370" s="149" t="str">
        <f t="shared" si="32"/>
        <v/>
      </c>
      <c r="Q370" s="157">
        <f t="shared" si="33"/>
        <v>0</v>
      </c>
      <c r="R370" s="157">
        <f t="shared" si="34"/>
        <v>0</v>
      </c>
      <c r="S370" s="149">
        <f t="shared" si="35"/>
        <v>0</v>
      </c>
      <c r="T370" s="44"/>
    </row>
    <row r="371" spans="1:20" s="46" customFormat="1" ht="14.25" customHeight="1">
      <c r="A371" s="38"/>
      <c r="B371" s="56"/>
      <c r="C371" s="155">
        <f>IF($B371&lt;&gt;"",VLOOKUP($B371,Matriz_INM,2,0),0)</f>
        <v>0</v>
      </c>
      <c r="D371" s="44"/>
      <c r="E371" s="44"/>
      <c r="F371" s="44"/>
      <c r="G371" s="44"/>
      <c r="H371" s="45"/>
      <c r="I371" s="156" t="str">
        <f>IFERROR(VLOOKUP($B371,Matriz_INM,3,0),"")</f>
        <v/>
      </c>
      <c r="J371" s="57"/>
      <c r="K371" s="57"/>
      <c r="L371" s="57"/>
      <c r="M371" s="44"/>
      <c r="N371" s="45" t="str">
        <f t="shared" si="30"/>
        <v/>
      </c>
      <c r="O371" s="45" t="str">
        <f t="shared" si="31"/>
        <v/>
      </c>
      <c r="P371" s="149" t="str">
        <f t="shared" si="32"/>
        <v/>
      </c>
      <c r="Q371" s="157">
        <f t="shared" si="33"/>
        <v>0</v>
      </c>
      <c r="R371" s="157">
        <f t="shared" si="34"/>
        <v>0</v>
      </c>
      <c r="S371" s="149">
        <f t="shared" si="35"/>
        <v>0</v>
      </c>
      <c r="T371" s="44"/>
    </row>
    <row r="372" spans="1:20" s="46" customFormat="1" ht="14.25" customHeight="1">
      <c r="A372" s="38"/>
      <c r="B372" s="56"/>
      <c r="C372" s="155">
        <f>IF($B372&lt;&gt;"",VLOOKUP($B372,Matriz_INM,2,0),0)</f>
        <v>0</v>
      </c>
      <c r="D372" s="44"/>
      <c r="E372" s="44"/>
      <c r="F372" s="44"/>
      <c r="G372" s="44"/>
      <c r="H372" s="45"/>
      <c r="I372" s="156" t="str">
        <f>IFERROR(VLOOKUP($B372,Matriz_INM,3,0),"")</f>
        <v/>
      </c>
      <c r="J372" s="57"/>
      <c r="K372" s="57"/>
      <c r="L372" s="57"/>
      <c r="M372" s="44"/>
      <c r="N372" s="45" t="str">
        <f t="shared" si="30"/>
        <v/>
      </c>
      <c r="O372" s="45" t="str">
        <f t="shared" si="31"/>
        <v/>
      </c>
      <c r="P372" s="149" t="str">
        <f t="shared" si="32"/>
        <v/>
      </c>
      <c r="Q372" s="157">
        <f t="shared" si="33"/>
        <v>0</v>
      </c>
      <c r="R372" s="157">
        <f t="shared" si="34"/>
        <v>0</v>
      </c>
      <c r="S372" s="149">
        <f t="shared" si="35"/>
        <v>0</v>
      </c>
      <c r="T372" s="44"/>
    </row>
    <row r="373" spans="1:20" s="46" customFormat="1" ht="14.25" customHeight="1">
      <c r="A373" s="38"/>
      <c r="B373" s="56"/>
      <c r="C373" s="155">
        <f>IF($B373&lt;&gt;"",VLOOKUP($B373,Matriz_INM,2,0),0)</f>
        <v>0</v>
      </c>
      <c r="D373" s="44"/>
      <c r="E373" s="44"/>
      <c r="F373" s="44"/>
      <c r="G373" s="44"/>
      <c r="H373" s="45"/>
      <c r="I373" s="156" t="str">
        <f>IFERROR(VLOOKUP($B373,Matriz_INM,3,0),"")</f>
        <v/>
      </c>
      <c r="J373" s="57"/>
      <c r="K373" s="57"/>
      <c r="L373" s="57"/>
      <c r="M373" s="44"/>
      <c r="N373" s="45" t="str">
        <f t="shared" si="30"/>
        <v/>
      </c>
      <c r="O373" s="45" t="str">
        <f t="shared" si="31"/>
        <v/>
      </c>
      <c r="P373" s="149" t="str">
        <f t="shared" si="32"/>
        <v/>
      </c>
      <c r="Q373" s="157">
        <f t="shared" si="33"/>
        <v>0</v>
      </c>
      <c r="R373" s="157">
        <f t="shared" si="34"/>
        <v>0</v>
      </c>
      <c r="S373" s="149">
        <f t="shared" si="35"/>
        <v>0</v>
      </c>
      <c r="T373" s="44"/>
    </row>
    <row r="374" spans="1:20" s="46" customFormat="1" ht="14.25" customHeight="1">
      <c r="A374" s="38"/>
      <c r="B374" s="56"/>
      <c r="C374" s="155">
        <f>IF($B374&lt;&gt;"",VLOOKUP($B374,Matriz_INM,2,0),0)</f>
        <v>0</v>
      </c>
      <c r="D374" s="44"/>
      <c r="E374" s="44"/>
      <c r="F374" s="44"/>
      <c r="G374" s="44"/>
      <c r="H374" s="45"/>
      <c r="I374" s="156" t="str">
        <f>IFERROR(VLOOKUP($B374,Matriz_INM,3,0),"")</f>
        <v/>
      </c>
      <c r="J374" s="57"/>
      <c r="K374" s="57"/>
      <c r="L374" s="57"/>
      <c r="M374" s="44"/>
      <c r="N374" s="45" t="str">
        <f t="shared" si="30"/>
        <v/>
      </c>
      <c r="O374" s="45" t="str">
        <f t="shared" si="31"/>
        <v/>
      </c>
      <c r="P374" s="149" t="str">
        <f t="shared" si="32"/>
        <v/>
      </c>
      <c r="Q374" s="157">
        <f t="shared" si="33"/>
        <v>0</v>
      </c>
      <c r="R374" s="157">
        <f t="shared" si="34"/>
        <v>0</v>
      </c>
      <c r="S374" s="149">
        <f t="shared" si="35"/>
        <v>0</v>
      </c>
      <c r="T374" s="44"/>
    </row>
    <row r="375" spans="1:20" s="46" customFormat="1" ht="14.25" customHeight="1">
      <c r="A375" s="38"/>
      <c r="B375" s="56"/>
      <c r="C375" s="155">
        <f>IF($B375&lt;&gt;"",VLOOKUP($B375,Matriz_INM,2,0),0)</f>
        <v>0</v>
      </c>
      <c r="D375" s="44"/>
      <c r="E375" s="44"/>
      <c r="F375" s="44"/>
      <c r="G375" s="44"/>
      <c r="H375" s="45"/>
      <c r="I375" s="156" t="str">
        <f>IFERROR(VLOOKUP($B375,Matriz_INM,3,0),"")</f>
        <v/>
      </c>
      <c r="J375" s="57"/>
      <c r="K375" s="57"/>
      <c r="L375" s="57"/>
      <c r="M375" s="44"/>
      <c r="N375" s="45" t="str">
        <f t="shared" si="30"/>
        <v/>
      </c>
      <c r="O375" s="45" t="str">
        <f t="shared" si="31"/>
        <v/>
      </c>
      <c r="P375" s="149" t="str">
        <f t="shared" si="32"/>
        <v/>
      </c>
      <c r="Q375" s="157">
        <f t="shared" si="33"/>
        <v>0</v>
      </c>
      <c r="R375" s="157">
        <f t="shared" si="34"/>
        <v>0</v>
      </c>
      <c r="S375" s="149">
        <f t="shared" si="35"/>
        <v>0</v>
      </c>
      <c r="T375" s="44"/>
    </row>
    <row r="376" spans="1:20" s="46" customFormat="1" ht="14.25" customHeight="1">
      <c r="A376" s="38"/>
      <c r="B376" s="56"/>
      <c r="C376" s="155">
        <f>IF($B376&lt;&gt;"",VLOOKUP($B376,Matriz_INM,2,0),0)</f>
        <v>0</v>
      </c>
      <c r="D376" s="44"/>
      <c r="E376" s="44"/>
      <c r="F376" s="44"/>
      <c r="G376" s="44"/>
      <c r="H376" s="45"/>
      <c r="I376" s="156" t="str">
        <f>IFERROR(VLOOKUP($B376,Matriz_INM,3,0),"")</f>
        <v/>
      </c>
      <c r="J376" s="57"/>
      <c r="K376" s="57"/>
      <c r="L376" s="57"/>
      <c r="M376" s="44"/>
      <c r="N376" s="45" t="str">
        <f t="shared" si="30"/>
        <v/>
      </c>
      <c r="O376" s="45" t="str">
        <f t="shared" si="31"/>
        <v/>
      </c>
      <c r="P376" s="149" t="str">
        <f t="shared" si="32"/>
        <v/>
      </c>
      <c r="Q376" s="157">
        <f t="shared" si="33"/>
        <v>0</v>
      </c>
      <c r="R376" s="157">
        <f t="shared" si="34"/>
        <v>0</v>
      </c>
      <c r="S376" s="149">
        <f t="shared" si="35"/>
        <v>0</v>
      </c>
      <c r="T376" s="44"/>
    </row>
    <row r="377" spans="1:20" s="46" customFormat="1" ht="14.25" customHeight="1">
      <c r="A377" s="38"/>
      <c r="B377" s="56"/>
      <c r="C377" s="155">
        <f>IF($B377&lt;&gt;"",VLOOKUP($B377,Matriz_INM,2,0),0)</f>
        <v>0</v>
      </c>
      <c r="D377" s="44"/>
      <c r="E377" s="44"/>
      <c r="F377" s="44"/>
      <c r="G377" s="44"/>
      <c r="H377" s="45"/>
      <c r="I377" s="156" t="str">
        <f>IFERROR(VLOOKUP($B377,Matriz_INM,3,0),"")</f>
        <v/>
      </c>
      <c r="J377" s="57"/>
      <c r="K377" s="57"/>
      <c r="L377" s="57"/>
      <c r="M377" s="44"/>
      <c r="N377" s="45" t="str">
        <f t="shared" si="30"/>
        <v/>
      </c>
      <c r="O377" s="45" t="str">
        <f t="shared" si="31"/>
        <v/>
      </c>
      <c r="P377" s="149" t="str">
        <f t="shared" si="32"/>
        <v/>
      </c>
      <c r="Q377" s="157">
        <f t="shared" si="33"/>
        <v>0</v>
      </c>
      <c r="R377" s="157">
        <f t="shared" si="34"/>
        <v>0</v>
      </c>
      <c r="S377" s="149">
        <f t="shared" si="35"/>
        <v>0</v>
      </c>
      <c r="T377" s="44"/>
    </row>
    <row r="378" spans="1:20" s="46" customFormat="1" ht="14.25" customHeight="1">
      <c r="A378" s="38"/>
      <c r="B378" s="56"/>
      <c r="C378" s="155">
        <f>IF($B378&lt;&gt;"",VLOOKUP($B378,Matriz_INM,2,0),0)</f>
        <v>0</v>
      </c>
      <c r="D378" s="44"/>
      <c r="E378" s="44"/>
      <c r="F378" s="44"/>
      <c r="G378" s="44"/>
      <c r="H378" s="45"/>
      <c r="I378" s="156" t="str">
        <f>IFERROR(VLOOKUP($B378,Matriz_INM,3,0),"")</f>
        <v/>
      </c>
      <c r="J378" s="57"/>
      <c r="K378" s="57"/>
      <c r="L378" s="57"/>
      <c r="M378" s="44"/>
      <c r="N378" s="45" t="str">
        <f t="shared" si="30"/>
        <v/>
      </c>
      <c r="O378" s="45" t="str">
        <f t="shared" si="31"/>
        <v/>
      </c>
      <c r="P378" s="149" t="str">
        <f t="shared" si="32"/>
        <v/>
      </c>
      <c r="Q378" s="157">
        <f t="shared" si="33"/>
        <v>0</v>
      </c>
      <c r="R378" s="157">
        <f t="shared" si="34"/>
        <v>0</v>
      </c>
      <c r="S378" s="149">
        <f t="shared" si="35"/>
        <v>0</v>
      </c>
      <c r="T378" s="44"/>
    </row>
    <row r="379" spans="1:20" s="46" customFormat="1" ht="14.25" customHeight="1">
      <c r="A379" s="38"/>
      <c r="B379" s="56"/>
      <c r="C379" s="155">
        <f>IF($B379&lt;&gt;"",VLOOKUP($B379,Matriz_INM,2,0),0)</f>
        <v>0</v>
      </c>
      <c r="D379" s="44"/>
      <c r="E379" s="44"/>
      <c r="F379" s="44"/>
      <c r="G379" s="44"/>
      <c r="H379" s="45"/>
      <c r="I379" s="156" t="str">
        <f>IFERROR(VLOOKUP($B379,Matriz_INM,3,0),"")</f>
        <v/>
      </c>
      <c r="J379" s="57"/>
      <c r="K379" s="57"/>
      <c r="L379" s="57"/>
      <c r="M379" s="44"/>
      <c r="N379" s="45" t="str">
        <f t="shared" si="30"/>
        <v/>
      </c>
      <c r="O379" s="45" t="str">
        <f t="shared" si="31"/>
        <v/>
      </c>
      <c r="P379" s="149" t="str">
        <f t="shared" si="32"/>
        <v/>
      </c>
      <c r="Q379" s="157">
        <f t="shared" si="33"/>
        <v>0</v>
      </c>
      <c r="R379" s="157">
        <f t="shared" si="34"/>
        <v>0</v>
      </c>
      <c r="S379" s="149">
        <f t="shared" si="35"/>
        <v>0</v>
      </c>
      <c r="T379" s="44"/>
    </row>
    <row r="380" spans="1:20" s="46" customFormat="1" ht="14.25" customHeight="1">
      <c r="A380" s="38"/>
      <c r="B380" s="56"/>
      <c r="C380" s="155">
        <f>IF($B380&lt;&gt;"",VLOOKUP($B380,Matriz_INM,2,0),0)</f>
        <v>0</v>
      </c>
      <c r="D380" s="44"/>
      <c r="E380" s="44"/>
      <c r="F380" s="44"/>
      <c r="G380" s="44"/>
      <c r="H380" s="45"/>
      <c r="I380" s="156" t="str">
        <f>IFERROR(VLOOKUP($B380,Matriz_INM,3,0),"")</f>
        <v/>
      </c>
      <c r="J380" s="57"/>
      <c r="K380" s="57"/>
      <c r="L380" s="57"/>
      <c r="M380" s="44"/>
      <c r="N380" s="45" t="str">
        <f t="shared" si="30"/>
        <v/>
      </c>
      <c r="O380" s="45" t="str">
        <f t="shared" si="31"/>
        <v/>
      </c>
      <c r="P380" s="149" t="str">
        <f t="shared" si="32"/>
        <v/>
      </c>
      <c r="Q380" s="157">
        <f t="shared" si="33"/>
        <v>0</v>
      </c>
      <c r="R380" s="157">
        <f t="shared" si="34"/>
        <v>0</v>
      </c>
      <c r="S380" s="149">
        <f t="shared" si="35"/>
        <v>0</v>
      </c>
      <c r="T380" s="44"/>
    </row>
    <row r="381" spans="1:20" s="46" customFormat="1" ht="14.25" customHeight="1">
      <c r="A381" s="38"/>
      <c r="B381" s="56"/>
      <c r="C381" s="155">
        <f>IF($B381&lt;&gt;"",VLOOKUP($B381,Matriz_INM,2,0),0)</f>
        <v>0</v>
      </c>
      <c r="D381" s="44"/>
      <c r="E381" s="44"/>
      <c r="F381" s="44"/>
      <c r="G381" s="44"/>
      <c r="H381" s="45"/>
      <c r="I381" s="156" t="str">
        <f>IFERROR(VLOOKUP($B381,Matriz_INM,3,0),"")</f>
        <v/>
      </c>
      <c r="J381" s="57"/>
      <c r="K381" s="57"/>
      <c r="L381" s="57"/>
      <c r="M381" s="44"/>
      <c r="N381" s="45" t="str">
        <f t="shared" si="30"/>
        <v/>
      </c>
      <c r="O381" s="45" t="str">
        <f t="shared" si="31"/>
        <v/>
      </c>
      <c r="P381" s="149" t="str">
        <f t="shared" si="32"/>
        <v/>
      </c>
      <c r="Q381" s="157">
        <f t="shared" si="33"/>
        <v>0</v>
      </c>
      <c r="R381" s="157">
        <f t="shared" si="34"/>
        <v>0</v>
      </c>
      <c r="S381" s="149">
        <f t="shared" si="35"/>
        <v>0</v>
      </c>
      <c r="T381" s="44"/>
    </row>
    <row r="382" spans="1:20" s="46" customFormat="1" ht="14.25" customHeight="1">
      <c r="A382" s="38"/>
      <c r="B382" s="56"/>
      <c r="C382" s="155">
        <f>IF($B382&lt;&gt;"",VLOOKUP($B382,Matriz_INM,2,0),0)</f>
        <v>0</v>
      </c>
      <c r="D382" s="44"/>
      <c r="E382" s="44"/>
      <c r="F382" s="44"/>
      <c r="G382" s="44"/>
      <c r="H382" s="45"/>
      <c r="I382" s="156" t="str">
        <f>IFERROR(VLOOKUP($B382,Matriz_INM,3,0),"")</f>
        <v/>
      </c>
      <c r="J382" s="57"/>
      <c r="K382" s="57"/>
      <c r="L382" s="57"/>
      <c r="M382" s="44"/>
      <c r="N382" s="45" t="str">
        <f t="shared" si="30"/>
        <v/>
      </c>
      <c r="O382" s="45" t="str">
        <f t="shared" si="31"/>
        <v/>
      </c>
      <c r="P382" s="149" t="str">
        <f t="shared" si="32"/>
        <v/>
      </c>
      <c r="Q382" s="157">
        <f t="shared" si="33"/>
        <v>0</v>
      </c>
      <c r="R382" s="157">
        <f t="shared" si="34"/>
        <v>0</v>
      </c>
      <c r="S382" s="149">
        <f t="shared" si="35"/>
        <v>0</v>
      </c>
      <c r="T382" s="44"/>
    </row>
    <row r="383" spans="1:20" s="46" customFormat="1" ht="14.25" customHeight="1">
      <c r="A383" s="38"/>
      <c r="B383" s="56"/>
      <c r="C383" s="155">
        <f>IF($B383&lt;&gt;"",VLOOKUP($B383,Matriz_INM,2,0),0)</f>
        <v>0</v>
      </c>
      <c r="D383" s="44"/>
      <c r="E383" s="44"/>
      <c r="F383" s="44"/>
      <c r="G383" s="44"/>
      <c r="H383" s="45"/>
      <c r="I383" s="156" t="str">
        <f>IFERROR(VLOOKUP($B383,Matriz_INM,3,0),"")</f>
        <v/>
      </c>
      <c r="J383" s="57"/>
      <c r="K383" s="57"/>
      <c r="L383" s="57"/>
      <c r="M383" s="44"/>
      <c r="N383" s="45" t="str">
        <f t="shared" si="30"/>
        <v/>
      </c>
      <c r="O383" s="45" t="str">
        <f t="shared" si="31"/>
        <v/>
      </c>
      <c r="P383" s="149" t="str">
        <f t="shared" si="32"/>
        <v/>
      </c>
      <c r="Q383" s="157">
        <f t="shared" si="33"/>
        <v>0</v>
      </c>
      <c r="R383" s="157">
        <f t="shared" si="34"/>
        <v>0</v>
      </c>
      <c r="S383" s="149">
        <f t="shared" si="35"/>
        <v>0</v>
      </c>
      <c r="T383" s="44"/>
    </row>
    <row r="384" spans="1:20" s="46" customFormat="1" ht="14.25" customHeight="1">
      <c r="A384" s="325" t="s">
        <v>81</v>
      </c>
      <c r="B384" s="262"/>
      <c r="C384" s="262"/>
      <c r="D384" s="262"/>
      <c r="E384" s="262"/>
      <c r="F384" s="262"/>
      <c r="G384" s="262"/>
      <c r="H384" s="262"/>
      <c r="I384" s="262"/>
      <c r="J384" s="262"/>
      <c r="K384" s="262"/>
      <c r="L384" s="262"/>
      <c r="M384" s="262"/>
      <c r="N384" s="262"/>
      <c r="O384" s="262"/>
      <c r="P384" s="262"/>
      <c r="Q384" s="262"/>
      <c r="R384" s="262"/>
      <c r="S384" s="262"/>
      <c r="T384" s="263"/>
    </row>
    <row r="385" spans="1:20" ht="25.5" customHeight="1">
      <c r="A385" s="48"/>
      <c r="B385" s="58"/>
      <c r="C385" s="58"/>
      <c r="D385" s="49"/>
      <c r="E385" s="49"/>
      <c r="F385" s="49"/>
      <c r="G385" s="49"/>
      <c r="H385" s="59"/>
      <c r="I385" s="48"/>
      <c r="J385" s="48"/>
      <c r="K385" s="48"/>
      <c r="L385" s="48"/>
      <c r="M385" s="48"/>
      <c r="N385" s="58"/>
      <c r="O385" s="58"/>
      <c r="P385" s="67" t="s">
        <v>82</v>
      </c>
      <c r="Q385" s="58"/>
      <c r="R385" s="45">
        <f>IF(AND(M385="ALI",O385="Simples"),7,
IF(AND(M385="ALI",O385="Médio"),10,
IF(AND(M385="ALI",O385="Complexo"),15,
IF(AND(M385="AIE",O385="Simples"),5,
IF(AND(M385="AIE",O385="Médio"),7,
IF(AND(M385="AIE",O385="Complexo"),10,0))))))</f>
        <v>0</v>
      </c>
      <c r="S385" s="158">
        <f>SUM(S10:S384)</f>
        <v>0</v>
      </c>
      <c r="T385" s="50"/>
    </row>
    <row r="398" spans="1:20">
      <c r="D398" s="51"/>
      <c r="E398" s="51"/>
      <c r="F398" s="51"/>
      <c r="G398" s="51"/>
      <c r="H398" s="52"/>
      <c r="I398" s="61"/>
      <c r="J398" s="61"/>
      <c r="K398" s="61"/>
      <c r="L398" s="61"/>
    </row>
    <row r="399" spans="1:20">
      <c r="D399" s="51"/>
      <c r="E399" s="51"/>
      <c r="F399" s="51"/>
      <c r="G399" s="51"/>
      <c r="H399" s="52"/>
      <c r="I399" s="61"/>
      <c r="J399" s="61"/>
      <c r="K399" s="61"/>
      <c r="L399" s="61"/>
    </row>
  </sheetData>
  <mergeCells count="24">
    <mergeCell ref="A384:T384"/>
    <mergeCell ref="K3:M3"/>
    <mergeCell ref="P3:T3"/>
    <mergeCell ref="H8:H9"/>
    <mergeCell ref="A5:C6"/>
    <mergeCell ref="K5:M5"/>
    <mergeCell ref="A10:T10"/>
    <mergeCell ref="P5:T5"/>
    <mergeCell ref="P4:T4"/>
    <mergeCell ref="E8:E9"/>
    <mergeCell ref="C1:T1"/>
    <mergeCell ref="G8:G9"/>
    <mergeCell ref="B8:B9"/>
    <mergeCell ref="F8:F9"/>
    <mergeCell ref="J8:S8"/>
    <mergeCell ref="P6:T6"/>
    <mergeCell ref="A7:T7"/>
    <mergeCell ref="D5:E6"/>
    <mergeCell ref="T8:T9"/>
    <mergeCell ref="A8:A9"/>
    <mergeCell ref="C8:C9"/>
    <mergeCell ref="K6:M6"/>
    <mergeCell ref="K4:M4"/>
    <mergeCell ref="D8:D9"/>
  </mergeCells>
  <conditionalFormatting sqref="J11:J383">
    <cfRule type="expression" dxfId="6" priority="1">
      <formula>$I11="%"</formula>
    </cfRule>
  </conditionalFormatting>
  <conditionalFormatting sqref="K11:P383">
    <cfRule type="expression" dxfId="5" priority="2">
      <formula>$I11&lt;&gt;"%"</formula>
    </cfRule>
  </conditionalFormatting>
  <dataValidations count="2">
    <dataValidation type="list" allowBlank="1" showInputMessage="1" showErrorMessage="1" errorTitle="Erro" error="Selecione uma das opções apresentada" sqref="M11:M383" xr:uid="{00000000-0002-0000-0400-000000000000}">
      <formula1>"-------,EE,SE,CE,ALI,AIE"</formula1>
    </dataValidation>
    <dataValidation type="list" allowBlank="1" showInputMessage="1" showErrorMessage="1" sqref="B11:B383" xr:uid="{00000000-0002-0000-0400-000001000000}">
      <formula1>INM</formula1>
    </dataValidation>
  </dataValidations>
  <pageMargins left="0.19685039370078741" right="0.19685039370078741" top="0.33" bottom="0.43" header="0.18" footer="0.27559055118110237"/>
  <pageSetup paperSize="9" scale="78" fitToHeight="10"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B1:AE416"/>
  <sheetViews>
    <sheetView showGridLines="0" zoomScale="85" zoomScaleNormal="85" workbookViewId="0">
      <selection activeCell="C11" sqref="C11"/>
    </sheetView>
  </sheetViews>
  <sheetFormatPr baseColWidth="10" defaultColWidth="8.83203125" defaultRowHeight="13"/>
  <cols>
    <col min="1" max="1" width="0.83203125" style="21" customWidth="1"/>
    <col min="2" max="2" width="4.5" style="34" customWidth="1"/>
    <col min="3" max="3" width="34.1640625" style="53" customWidth="1"/>
    <col min="4" max="4" width="14.1640625" style="53" hidden="1" customWidth="1"/>
    <col min="5" max="5" width="10.1640625" style="53" customWidth="1"/>
    <col min="6" max="6" width="7.83203125" style="53" customWidth="1"/>
    <col min="7" max="7" width="15.5" style="53" customWidth="1"/>
    <col min="8" max="8" width="19.5" style="53" customWidth="1"/>
    <col min="9" max="9" width="44" style="54" customWidth="1"/>
    <col min="10" max="10" width="11.5" style="34" customWidth="1"/>
    <col min="11" max="11" width="9.1640625" style="21" customWidth="1"/>
    <col min="12" max="12" width="8.1640625" style="21" customWidth="1"/>
    <col min="13" max="14" width="9.1640625" style="21" customWidth="1"/>
    <col min="15" max="15" width="9.5" style="21" customWidth="1"/>
    <col min="16" max="24" width="9.1640625" style="21" customWidth="1"/>
    <col min="25" max="26" width="8.83203125" style="21" customWidth="1"/>
    <col min="27" max="16384" width="8.83203125" style="21"/>
  </cols>
  <sheetData>
    <row r="1" spans="2:21" ht="69" customHeight="1">
      <c r="B1" s="18" t="s">
        <v>102</v>
      </c>
      <c r="C1" s="30"/>
      <c r="D1" s="30"/>
      <c r="E1" s="30"/>
      <c r="F1" s="30"/>
      <c r="G1" s="266" t="s">
        <v>103</v>
      </c>
      <c r="H1" s="267"/>
      <c r="I1" s="267"/>
      <c r="J1" s="267"/>
      <c r="K1" s="267"/>
      <c r="L1" s="267"/>
      <c r="M1" s="31"/>
      <c r="N1" s="31"/>
      <c r="O1" s="27"/>
      <c r="P1" s="27"/>
      <c r="Q1" s="27"/>
      <c r="R1" s="27"/>
      <c r="S1" s="27"/>
      <c r="T1" s="27"/>
      <c r="U1" s="27"/>
    </row>
    <row r="2" spans="2:21" ht="9" customHeight="1">
      <c r="B2" s="32"/>
      <c r="C2" s="28"/>
      <c r="D2" s="28"/>
      <c r="E2" s="28"/>
      <c r="F2" s="28"/>
      <c r="G2" s="28"/>
      <c r="H2" s="28"/>
      <c r="I2" s="28"/>
      <c r="J2" s="28"/>
      <c r="K2" s="28"/>
      <c r="L2" s="28"/>
      <c r="M2" s="28"/>
    </row>
    <row r="3" spans="2:21" ht="18.5" customHeight="1">
      <c r="B3" s="330" t="s">
        <v>104</v>
      </c>
      <c r="C3" s="279"/>
      <c r="D3" s="329" t="str">
        <f>TEXT(J404,"#.##0,0#")</f>
        <v>0,0</v>
      </c>
      <c r="E3" s="321"/>
      <c r="F3" s="23"/>
      <c r="G3" s="23"/>
      <c r="H3" s="23"/>
      <c r="I3" s="29" t="s">
        <v>12</v>
      </c>
      <c r="J3" s="326"/>
      <c r="K3" s="262"/>
      <c r="L3" s="263"/>
    </row>
    <row r="4" spans="2:21" ht="18.5" customHeight="1">
      <c r="B4" s="282"/>
      <c r="C4" s="283"/>
      <c r="D4" s="322"/>
      <c r="E4" s="323"/>
      <c r="F4" s="23"/>
      <c r="G4" s="23"/>
      <c r="H4" s="23"/>
      <c r="I4" s="29" t="s">
        <v>14</v>
      </c>
      <c r="J4" s="318"/>
      <c r="K4" s="262"/>
      <c r="L4" s="263"/>
    </row>
    <row r="5" spans="2:21" ht="18.5" customHeight="1">
      <c r="B5" s="330" t="s">
        <v>105</v>
      </c>
      <c r="C5" s="279"/>
      <c r="D5" s="329" t="str">
        <f>TEXT(K404,"#.##0,0#")</f>
        <v>0,0</v>
      </c>
      <c r="E5" s="321"/>
      <c r="F5" s="23"/>
      <c r="G5" s="23"/>
      <c r="H5" s="23"/>
      <c r="I5" s="29" t="s">
        <v>15</v>
      </c>
      <c r="J5" s="326"/>
      <c r="K5" s="262"/>
      <c r="L5" s="263"/>
    </row>
    <row r="6" spans="2:21" ht="18.5" customHeight="1">
      <c r="B6" s="282"/>
      <c r="C6" s="283"/>
      <c r="D6" s="322"/>
      <c r="E6" s="323"/>
      <c r="F6" s="23"/>
      <c r="G6" s="23"/>
      <c r="H6" s="23"/>
      <c r="I6" s="29" t="s">
        <v>16</v>
      </c>
      <c r="J6" s="318"/>
      <c r="K6" s="262"/>
      <c r="L6" s="263"/>
    </row>
    <row r="7" spans="2:21" ht="9" customHeight="1">
      <c r="B7" s="40"/>
      <c r="C7" s="40"/>
      <c r="D7" s="40"/>
      <c r="E7" s="40"/>
      <c r="F7" s="40"/>
      <c r="G7" s="40"/>
      <c r="H7" s="40"/>
      <c r="I7" s="41"/>
      <c r="J7" s="41"/>
      <c r="K7" s="41"/>
      <c r="L7" s="41"/>
    </row>
    <row r="8" spans="2:21" s="42" customFormat="1" ht="26.75" customHeight="1">
      <c r="B8" s="324" t="s">
        <v>94</v>
      </c>
      <c r="C8" s="258" t="s">
        <v>106</v>
      </c>
      <c r="D8" s="160" t="s">
        <v>56</v>
      </c>
      <c r="E8" s="265" t="s">
        <v>107</v>
      </c>
      <c r="F8" s="265" t="s">
        <v>95</v>
      </c>
      <c r="G8" s="265" t="s">
        <v>50</v>
      </c>
      <c r="H8" s="279"/>
      <c r="I8" s="258" t="s">
        <v>108</v>
      </c>
      <c r="J8" s="324" t="s">
        <v>97</v>
      </c>
      <c r="K8" s="283"/>
      <c r="L8" s="324" t="s">
        <v>98</v>
      </c>
    </row>
    <row r="9" spans="2:21" s="43" customFormat="1" ht="15.75" customHeight="1">
      <c r="B9" s="257"/>
      <c r="C9" s="257"/>
      <c r="D9" s="159"/>
      <c r="E9" s="257"/>
      <c r="F9" s="257"/>
      <c r="G9" s="282"/>
      <c r="H9" s="283"/>
      <c r="I9" s="257"/>
      <c r="J9" s="35" t="s">
        <v>30</v>
      </c>
      <c r="K9" s="35" t="s">
        <v>62</v>
      </c>
      <c r="L9" s="257"/>
    </row>
    <row r="10" spans="2:21" s="46" customFormat="1" ht="14.25" customHeight="1">
      <c r="B10" s="325" t="s">
        <v>90</v>
      </c>
      <c r="C10" s="262"/>
      <c r="D10" s="262"/>
      <c r="E10" s="262"/>
      <c r="F10" s="262"/>
      <c r="G10" s="262"/>
      <c r="H10" s="262"/>
      <c r="I10" s="262"/>
      <c r="J10" s="262"/>
      <c r="K10" s="262"/>
      <c r="L10" s="263"/>
    </row>
    <row r="11" spans="2:21" s="46" customFormat="1" ht="24" customHeight="1">
      <c r="B11" s="38"/>
      <c r="C11" s="44"/>
      <c r="D11" s="137"/>
      <c r="E11" s="137"/>
      <c r="F11" s="137"/>
      <c r="G11" s="327"/>
      <c r="H11" s="263"/>
      <c r="I11" s="45"/>
      <c r="J11" s="149" t="str">
        <f t="shared" ref="J11:J74" si="0">IF($C11&lt;&gt;"",$E11*1.5,"")</f>
        <v/>
      </c>
      <c r="K11" s="151" t="str">
        <f t="shared" ref="K11:K74" si="1">IFERROR($J11/10,"")</f>
        <v/>
      </c>
      <c r="L11" s="44"/>
    </row>
    <row r="12" spans="2:21" s="46" customFormat="1" ht="14.25" customHeight="1">
      <c r="B12" s="38"/>
      <c r="C12" s="44"/>
      <c r="D12" s="137"/>
      <c r="E12" s="137"/>
      <c r="F12" s="137"/>
      <c r="G12" s="327"/>
      <c r="H12" s="263"/>
      <c r="I12" s="45"/>
      <c r="J12" s="149" t="str">
        <f t="shared" si="0"/>
        <v/>
      </c>
      <c r="K12" s="151" t="str">
        <f t="shared" si="1"/>
        <v/>
      </c>
      <c r="L12" s="44"/>
    </row>
    <row r="13" spans="2:21" s="46" customFormat="1" ht="14.25" customHeight="1">
      <c r="B13" s="38"/>
      <c r="C13" s="44"/>
      <c r="D13" s="137"/>
      <c r="E13" s="137"/>
      <c r="F13" s="137"/>
      <c r="G13" s="327"/>
      <c r="H13" s="263"/>
      <c r="I13" s="45"/>
      <c r="J13" s="149" t="str">
        <f t="shared" si="0"/>
        <v/>
      </c>
      <c r="K13" s="151" t="str">
        <f t="shared" si="1"/>
        <v/>
      </c>
      <c r="L13" s="44"/>
    </row>
    <row r="14" spans="2:21" s="46" customFormat="1" ht="14.25" customHeight="1">
      <c r="B14" s="38"/>
      <c r="C14" s="44"/>
      <c r="D14" s="137"/>
      <c r="E14" s="137"/>
      <c r="F14" s="137"/>
      <c r="G14" s="327"/>
      <c r="H14" s="263"/>
      <c r="I14" s="45"/>
      <c r="J14" s="149" t="str">
        <f t="shared" si="0"/>
        <v/>
      </c>
      <c r="K14" s="151" t="str">
        <f t="shared" si="1"/>
        <v/>
      </c>
      <c r="L14" s="44"/>
    </row>
    <row r="15" spans="2:21" s="46" customFormat="1" ht="14.25" customHeight="1">
      <c r="B15" s="38"/>
      <c r="C15" s="44"/>
      <c r="D15" s="137"/>
      <c r="E15" s="137"/>
      <c r="F15" s="137"/>
      <c r="G15" s="327"/>
      <c r="H15" s="263"/>
      <c r="I15" s="45"/>
      <c r="J15" s="149" t="str">
        <f t="shared" si="0"/>
        <v/>
      </c>
      <c r="K15" s="151" t="str">
        <f t="shared" si="1"/>
        <v/>
      </c>
      <c r="L15" s="44"/>
    </row>
    <row r="16" spans="2:21" s="46" customFormat="1" ht="14.25" customHeight="1">
      <c r="B16" s="38"/>
      <c r="C16" s="44"/>
      <c r="D16" s="137"/>
      <c r="E16" s="137"/>
      <c r="F16" s="137"/>
      <c r="G16" s="327"/>
      <c r="H16" s="263"/>
      <c r="I16" s="45"/>
      <c r="J16" s="149" t="str">
        <f t="shared" si="0"/>
        <v/>
      </c>
      <c r="K16" s="151" t="str">
        <f t="shared" si="1"/>
        <v/>
      </c>
      <c r="L16" s="44"/>
    </row>
    <row r="17" spans="2:12" s="46" customFormat="1" ht="14.25" customHeight="1">
      <c r="B17" s="38"/>
      <c r="C17" s="44"/>
      <c r="D17" s="137"/>
      <c r="E17" s="137"/>
      <c r="F17" s="137"/>
      <c r="G17" s="327"/>
      <c r="H17" s="263"/>
      <c r="I17" s="45"/>
      <c r="J17" s="149" t="str">
        <f t="shared" si="0"/>
        <v/>
      </c>
      <c r="K17" s="151" t="str">
        <f t="shared" si="1"/>
        <v/>
      </c>
      <c r="L17" s="44"/>
    </row>
    <row r="18" spans="2:12" s="46" customFormat="1" ht="14.25" customHeight="1">
      <c r="B18" s="38"/>
      <c r="C18" s="44"/>
      <c r="D18" s="137"/>
      <c r="E18" s="137"/>
      <c r="F18" s="137"/>
      <c r="G18" s="327"/>
      <c r="H18" s="263"/>
      <c r="I18" s="45"/>
      <c r="J18" s="149" t="str">
        <f t="shared" si="0"/>
        <v/>
      </c>
      <c r="K18" s="151" t="str">
        <f t="shared" si="1"/>
        <v/>
      </c>
      <c r="L18" s="44"/>
    </row>
    <row r="19" spans="2:12" s="46" customFormat="1" ht="14.25" customHeight="1">
      <c r="B19" s="38"/>
      <c r="C19" s="44"/>
      <c r="D19" s="137"/>
      <c r="E19" s="137"/>
      <c r="F19" s="137"/>
      <c r="G19" s="327"/>
      <c r="H19" s="263"/>
      <c r="I19" s="45"/>
      <c r="J19" s="149" t="str">
        <f t="shared" si="0"/>
        <v/>
      </c>
      <c r="K19" s="151" t="str">
        <f t="shared" si="1"/>
        <v/>
      </c>
      <c r="L19" s="44"/>
    </row>
    <row r="20" spans="2:12" s="46" customFormat="1" ht="14.25" customHeight="1">
      <c r="B20" s="38"/>
      <c r="C20" s="44"/>
      <c r="D20" s="137"/>
      <c r="E20" s="137"/>
      <c r="F20" s="137"/>
      <c r="G20" s="327"/>
      <c r="H20" s="263"/>
      <c r="I20" s="45"/>
      <c r="J20" s="149" t="str">
        <f t="shared" si="0"/>
        <v/>
      </c>
      <c r="K20" s="151" t="str">
        <f t="shared" si="1"/>
        <v/>
      </c>
      <c r="L20" s="44"/>
    </row>
    <row r="21" spans="2:12" s="46" customFormat="1" ht="14.25" customHeight="1">
      <c r="B21" s="38"/>
      <c r="C21" s="44"/>
      <c r="D21" s="137"/>
      <c r="E21" s="137"/>
      <c r="F21" s="137"/>
      <c r="G21" s="327"/>
      <c r="H21" s="263"/>
      <c r="I21" s="45"/>
      <c r="J21" s="149" t="str">
        <f t="shared" si="0"/>
        <v/>
      </c>
      <c r="K21" s="151" t="str">
        <f t="shared" si="1"/>
        <v/>
      </c>
      <c r="L21" s="44"/>
    </row>
    <row r="22" spans="2:12" s="46" customFormat="1" ht="14.25" customHeight="1">
      <c r="B22" s="38"/>
      <c r="C22" s="44"/>
      <c r="D22" s="137"/>
      <c r="E22" s="137"/>
      <c r="F22" s="137"/>
      <c r="G22" s="327"/>
      <c r="H22" s="263"/>
      <c r="I22" s="45"/>
      <c r="J22" s="149" t="str">
        <f t="shared" si="0"/>
        <v/>
      </c>
      <c r="K22" s="151" t="str">
        <f t="shared" si="1"/>
        <v/>
      </c>
      <c r="L22" s="44"/>
    </row>
    <row r="23" spans="2:12" s="46" customFormat="1" ht="14.25" customHeight="1">
      <c r="B23" s="38"/>
      <c r="C23" s="44"/>
      <c r="D23" s="137"/>
      <c r="E23" s="137"/>
      <c r="F23" s="137"/>
      <c r="G23" s="327"/>
      <c r="H23" s="263"/>
      <c r="I23" s="45"/>
      <c r="J23" s="149" t="str">
        <f t="shared" si="0"/>
        <v/>
      </c>
      <c r="K23" s="151" t="str">
        <f t="shared" si="1"/>
        <v/>
      </c>
      <c r="L23" s="44"/>
    </row>
    <row r="24" spans="2:12" s="46" customFormat="1" ht="14.25" customHeight="1">
      <c r="B24" s="38"/>
      <c r="C24" s="44"/>
      <c r="D24" s="137"/>
      <c r="E24" s="137"/>
      <c r="F24" s="137"/>
      <c r="G24" s="327"/>
      <c r="H24" s="263"/>
      <c r="I24" s="45"/>
      <c r="J24" s="149" t="str">
        <f t="shared" si="0"/>
        <v/>
      </c>
      <c r="K24" s="151" t="str">
        <f t="shared" si="1"/>
        <v/>
      </c>
      <c r="L24" s="44"/>
    </row>
    <row r="25" spans="2:12" s="46" customFormat="1" ht="14.25" customHeight="1">
      <c r="B25" s="38"/>
      <c r="C25" s="44"/>
      <c r="D25" s="137"/>
      <c r="E25" s="137"/>
      <c r="F25" s="137"/>
      <c r="G25" s="327"/>
      <c r="H25" s="263"/>
      <c r="I25" s="45"/>
      <c r="J25" s="149" t="str">
        <f t="shared" si="0"/>
        <v/>
      </c>
      <c r="K25" s="151" t="str">
        <f t="shared" si="1"/>
        <v/>
      </c>
      <c r="L25" s="44"/>
    </row>
    <row r="26" spans="2:12" s="46" customFormat="1" ht="14.25" customHeight="1">
      <c r="B26" s="38"/>
      <c r="C26" s="44"/>
      <c r="D26" s="137"/>
      <c r="E26" s="137"/>
      <c r="F26" s="137"/>
      <c r="G26" s="327"/>
      <c r="H26" s="263"/>
      <c r="I26" s="45"/>
      <c r="J26" s="149" t="str">
        <f t="shared" si="0"/>
        <v/>
      </c>
      <c r="K26" s="151" t="str">
        <f t="shared" si="1"/>
        <v/>
      </c>
      <c r="L26" s="44"/>
    </row>
    <row r="27" spans="2:12" s="46" customFormat="1" ht="14.25" customHeight="1">
      <c r="B27" s="38"/>
      <c r="C27" s="44"/>
      <c r="D27" s="137"/>
      <c r="E27" s="137"/>
      <c r="F27" s="137"/>
      <c r="G27" s="327"/>
      <c r="H27" s="263"/>
      <c r="I27" s="45"/>
      <c r="J27" s="149" t="str">
        <f t="shared" si="0"/>
        <v/>
      </c>
      <c r="K27" s="151" t="str">
        <f t="shared" si="1"/>
        <v/>
      </c>
      <c r="L27" s="44"/>
    </row>
    <row r="28" spans="2:12" s="46" customFormat="1" ht="14.25" customHeight="1">
      <c r="B28" s="38"/>
      <c r="C28" s="44"/>
      <c r="D28" s="137"/>
      <c r="E28" s="137"/>
      <c r="F28" s="137"/>
      <c r="G28" s="327"/>
      <c r="H28" s="263"/>
      <c r="I28" s="45"/>
      <c r="J28" s="149" t="str">
        <f t="shared" si="0"/>
        <v/>
      </c>
      <c r="K28" s="151" t="str">
        <f t="shared" si="1"/>
        <v/>
      </c>
      <c r="L28" s="44"/>
    </row>
    <row r="29" spans="2:12" s="46" customFormat="1" ht="14.25" customHeight="1">
      <c r="B29" s="38"/>
      <c r="C29" s="44"/>
      <c r="D29" s="137"/>
      <c r="E29" s="137"/>
      <c r="F29" s="137"/>
      <c r="G29" s="327"/>
      <c r="H29" s="263"/>
      <c r="I29" s="47"/>
      <c r="J29" s="149" t="str">
        <f t="shared" si="0"/>
        <v/>
      </c>
      <c r="K29" s="151" t="str">
        <f t="shared" si="1"/>
        <v/>
      </c>
      <c r="L29" s="44"/>
    </row>
    <row r="30" spans="2:12" s="46" customFormat="1" ht="14.25" customHeight="1">
      <c r="B30" s="38"/>
      <c r="C30" s="44"/>
      <c r="D30" s="137"/>
      <c r="E30" s="137"/>
      <c r="F30" s="137"/>
      <c r="G30" s="327"/>
      <c r="H30" s="263"/>
      <c r="I30" s="47"/>
      <c r="J30" s="149" t="str">
        <f t="shared" si="0"/>
        <v/>
      </c>
      <c r="K30" s="151" t="str">
        <f t="shared" si="1"/>
        <v/>
      </c>
      <c r="L30" s="44"/>
    </row>
    <row r="31" spans="2:12" s="46" customFormat="1" ht="14.25" customHeight="1">
      <c r="B31" s="38"/>
      <c r="C31" s="44"/>
      <c r="D31" s="137"/>
      <c r="E31" s="137"/>
      <c r="F31" s="137"/>
      <c r="G31" s="327"/>
      <c r="H31" s="263"/>
      <c r="I31" s="45"/>
      <c r="J31" s="149" t="str">
        <f t="shared" si="0"/>
        <v/>
      </c>
      <c r="K31" s="151" t="str">
        <f t="shared" si="1"/>
        <v/>
      </c>
      <c r="L31" s="44"/>
    </row>
    <row r="32" spans="2:12" s="46" customFormat="1" ht="14.25" customHeight="1">
      <c r="B32" s="38"/>
      <c r="C32" s="44"/>
      <c r="D32" s="137"/>
      <c r="E32" s="137"/>
      <c r="F32" s="137"/>
      <c r="G32" s="327"/>
      <c r="H32" s="263"/>
      <c r="I32" s="45"/>
      <c r="J32" s="149" t="str">
        <f t="shared" si="0"/>
        <v/>
      </c>
      <c r="K32" s="151" t="str">
        <f t="shared" si="1"/>
        <v/>
      </c>
      <c r="L32" s="44"/>
    </row>
    <row r="33" spans="2:12" s="46" customFormat="1" ht="14.25" customHeight="1">
      <c r="B33" s="38"/>
      <c r="C33" s="44"/>
      <c r="D33" s="137"/>
      <c r="E33" s="137"/>
      <c r="F33" s="137"/>
      <c r="G33" s="327"/>
      <c r="H33" s="263"/>
      <c r="I33" s="45"/>
      <c r="J33" s="149" t="str">
        <f t="shared" si="0"/>
        <v/>
      </c>
      <c r="K33" s="151" t="str">
        <f t="shared" si="1"/>
        <v/>
      </c>
      <c r="L33" s="44"/>
    </row>
    <row r="34" spans="2:12" s="46" customFormat="1" ht="14.25" customHeight="1">
      <c r="B34" s="38"/>
      <c r="C34" s="44"/>
      <c r="D34" s="137"/>
      <c r="E34" s="137"/>
      <c r="F34" s="137"/>
      <c r="G34" s="327"/>
      <c r="H34" s="263"/>
      <c r="I34" s="45"/>
      <c r="J34" s="149" t="str">
        <f t="shared" si="0"/>
        <v/>
      </c>
      <c r="K34" s="151" t="str">
        <f t="shared" si="1"/>
        <v/>
      </c>
      <c r="L34" s="44"/>
    </row>
    <row r="35" spans="2:12" s="46" customFormat="1" ht="14.25" customHeight="1">
      <c r="B35" s="38"/>
      <c r="C35" s="44"/>
      <c r="D35" s="137"/>
      <c r="E35" s="137"/>
      <c r="F35" s="137"/>
      <c r="G35" s="327"/>
      <c r="H35" s="263"/>
      <c r="I35" s="45"/>
      <c r="J35" s="149" t="str">
        <f t="shared" si="0"/>
        <v/>
      </c>
      <c r="K35" s="151" t="str">
        <f t="shared" si="1"/>
        <v/>
      </c>
      <c r="L35" s="44"/>
    </row>
    <row r="36" spans="2:12" s="46" customFormat="1" ht="14.25" customHeight="1">
      <c r="B36" s="38"/>
      <c r="C36" s="44"/>
      <c r="D36" s="137"/>
      <c r="E36" s="137"/>
      <c r="F36" s="137"/>
      <c r="G36" s="327"/>
      <c r="H36" s="263"/>
      <c r="I36" s="45"/>
      <c r="J36" s="149" t="str">
        <f t="shared" si="0"/>
        <v/>
      </c>
      <c r="K36" s="151" t="str">
        <f t="shared" si="1"/>
        <v/>
      </c>
      <c r="L36" s="44"/>
    </row>
    <row r="37" spans="2:12" s="46" customFormat="1" ht="14.25" customHeight="1">
      <c r="B37" s="38"/>
      <c r="C37" s="44"/>
      <c r="D37" s="137"/>
      <c r="E37" s="137"/>
      <c r="F37" s="137"/>
      <c r="G37" s="327"/>
      <c r="H37" s="263"/>
      <c r="I37" s="45"/>
      <c r="J37" s="149" t="str">
        <f t="shared" si="0"/>
        <v/>
      </c>
      <c r="K37" s="151" t="str">
        <f t="shared" si="1"/>
        <v/>
      </c>
      <c r="L37" s="44"/>
    </row>
    <row r="38" spans="2:12" s="46" customFormat="1" ht="14.25" customHeight="1">
      <c r="B38" s="38"/>
      <c r="C38" s="44"/>
      <c r="D38" s="137"/>
      <c r="E38" s="137"/>
      <c r="F38" s="137"/>
      <c r="G38" s="327"/>
      <c r="H38" s="263"/>
      <c r="I38" s="45"/>
      <c r="J38" s="149" t="str">
        <f t="shared" si="0"/>
        <v/>
      </c>
      <c r="K38" s="151" t="str">
        <f t="shared" si="1"/>
        <v/>
      </c>
      <c r="L38" s="44"/>
    </row>
    <row r="39" spans="2:12" s="46" customFormat="1" ht="14.25" customHeight="1">
      <c r="B39" s="38"/>
      <c r="C39" s="44"/>
      <c r="D39" s="137"/>
      <c r="E39" s="137"/>
      <c r="F39" s="137"/>
      <c r="G39" s="327"/>
      <c r="H39" s="263"/>
      <c r="I39" s="45"/>
      <c r="J39" s="149" t="str">
        <f t="shared" si="0"/>
        <v/>
      </c>
      <c r="K39" s="151" t="str">
        <f t="shared" si="1"/>
        <v/>
      </c>
      <c r="L39" s="44"/>
    </row>
    <row r="40" spans="2:12" s="46" customFormat="1" ht="14.25" customHeight="1">
      <c r="B40" s="38"/>
      <c r="C40" s="44"/>
      <c r="D40" s="137"/>
      <c r="E40" s="137"/>
      <c r="F40" s="137"/>
      <c r="G40" s="327"/>
      <c r="H40" s="263"/>
      <c r="I40" s="45"/>
      <c r="J40" s="149" t="str">
        <f t="shared" si="0"/>
        <v/>
      </c>
      <c r="K40" s="151" t="str">
        <f t="shared" si="1"/>
        <v/>
      </c>
      <c r="L40" s="44"/>
    </row>
    <row r="41" spans="2:12" s="46" customFormat="1" ht="14.25" customHeight="1">
      <c r="B41" s="38"/>
      <c r="C41" s="44"/>
      <c r="D41" s="137"/>
      <c r="E41" s="137"/>
      <c r="F41" s="137"/>
      <c r="G41" s="327"/>
      <c r="H41" s="263"/>
      <c r="I41" s="45"/>
      <c r="J41" s="149" t="str">
        <f t="shared" si="0"/>
        <v/>
      </c>
      <c r="K41" s="151" t="str">
        <f t="shared" si="1"/>
        <v/>
      </c>
      <c r="L41" s="44"/>
    </row>
    <row r="42" spans="2:12" s="46" customFormat="1" ht="14.25" customHeight="1">
      <c r="B42" s="38"/>
      <c r="C42" s="44"/>
      <c r="D42" s="137"/>
      <c r="E42" s="137"/>
      <c r="F42" s="137"/>
      <c r="G42" s="327"/>
      <c r="H42" s="263"/>
      <c r="I42" s="45"/>
      <c r="J42" s="149" t="str">
        <f t="shared" si="0"/>
        <v/>
      </c>
      <c r="K42" s="151" t="str">
        <f t="shared" si="1"/>
        <v/>
      </c>
      <c r="L42" s="44"/>
    </row>
    <row r="43" spans="2:12" s="46" customFormat="1" ht="14.25" customHeight="1">
      <c r="B43" s="38"/>
      <c r="C43" s="44"/>
      <c r="D43" s="137"/>
      <c r="E43" s="137"/>
      <c r="F43" s="137"/>
      <c r="G43" s="327"/>
      <c r="H43" s="263"/>
      <c r="I43" s="45"/>
      <c r="J43" s="149" t="str">
        <f t="shared" si="0"/>
        <v/>
      </c>
      <c r="K43" s="151" t="str">
        <f t="shared" si="1"/>
        <v/>
      </c>
      <c r="L43" s="44"/>
    </row>
    <row r="44" spans="2:12" s="46" customFormat="1" ht="14.25" customHeight="1">
      <c r="B44" s="38"/>
      <c r="C44" s="44"/>
      <c r="D44" s="137"/>
      <c r="E44" s="137"/>
      <c r="F44" s="137"/>
      <c r="G44" s="327"/>
      <c r="H44" s="263"/>
      <c r="I44" s="45"/>
      <c r="J44" s="149" t="str">
        <f t="shared" si="0"/>
        <v/>
      </c>
      <c r="K44" s="151" t="str">
        <f t="shared" si="1"/>
        <v/>
      </c>
      <c r="L44" s="44"/>
    </row>
    <row r="45" spans="2:12" s="46" customFormat="1" ht="14.25" customHeight="1">
      <c r="B45" s="38"/>
      <c r="C45" s="44"/>
      <c r="D45" s="137"/>
      <c r="E45" s="137"/>
      <c r="F45" s="137"/>
      <c r="G45" s="327"/>
      <c r="H45" s="263"/>
      <c r="I45" s="45"/>
      <c r="J45" s="149" t="str">
        <f t="shared" si="0"/>
        <v/>
      </c>
      <c r="K45" s="151" t="str">
        <f t="shared" si="1"/>
        <v/>
      </c>
      <c r="L45" s="44"/>
    </row>
    <row r="46" spans="2:12" s="46" customFormat="1" ht="14.25" customHeight="1">
      <c r="B46" s="38"/>
      <c r="C46" s="44"/>
      <c r="D46" s="137"/>
      <c r="E46" s="137"/>
      <c r="F46" s="137"/>
      <c r="G46" s="327"/>
      <c r="H46" s="263"/>
      <c r="I46" s="45"/>
      <c r="J46" s="149" t="str">
        <f t="shared" si="0"/>
        <v/>
      </c>
      <c r="K46" s="151" t="str">
        <f t="shared" si="1"/>
        <v/>
      </c>
      <c r="L46" s="44"/>
    </row>
    <row r="47" spans="2:12" s="46" customFormat="1" ht="14.25" customHeight="1">
      <c r="B47" s="38"/>
      <c r="C47" s="44"/>
      <c r="D47" s="137"/>
      <c r="E47" s="137"/>
      <c r="F47" s="137"/>
      <c r="G47" s="327"/>
      <c r="H47" s="263"/>
      <c r="I47" s="45"/>
      <c r="J47" s="149" t="str">
        <f t="shared" si="0"/>
        <v/>
      </c>
      <c r="K47" s="151" t="str">
        <f t="shared" si="1"/>
        <v/>
      </c>
      <c r="L47" s="44"/>
    </row>
    <row r="48" spans="2:12" s="46" customFormat="1" ht="14.25" customHeight="1">
      <c r="B48" s="38"/>
      <c r="C48" s="44"/>
      <c r="D48" s="137"/>
      <c r="E48" s="137"/>
      <c r="F48" s="137"/>
      <c r="G48" s="327"/>
      <c r="H48" s="263"/>
      <c r="I48" s="45"/>
      <c r="J48" s="149" t="str">
        <f t="shared" si="0"/>
        <v/>
      </c>
      <c r="K48" s="151" t="str">
        <f t="shared" si="1"/>
        <v/>
      </c>
      <c r="L48" s="44"/>
    </row>
    <row r="49" spans="2:12" s="46" customFormat="1" ht="14.25" customHeight="1">
      <c r="B49" s="38"/>
      <c r="C49" s="44"/>
      <c r="D49" s="137"/>
      <c r="E49" s="137"/>
      <c r="F49" s="137"/>
      <c r="G49" s="327"/>
      <c r="H49" s="263"/>
      <c r="I49" s="45"/>
      <c r="J49" s="149" t="str">
        <f t="shared" si="0"/>
        <v/>
      </c>
      <c r="K49" s="151" t="str">
        <f t="shared" si="1"/>
        <v/>
      </c>
      <c r="L49" s="44"/>
    </row>
    <row r="50" spans="2:12" s="46" customFormat="1" ht="14.25" customHeight="1">
      <c r="B50" s="38"/>
      <c r="C50" s="44"/>
      <c r="D50" s="137"/>
      <c r="E50" s="137"/>
      <c r="F50" s="137"/>
      <c r="G50" s="327"/>
      <c r="H50" s="263"/>
      <c r="I50" s="45"/>
      <c r="J50" s="149" t="str">
        <f t="shared" si="0"/>
        <v/>
      </c>
      <c r="K50" s="151" t="str">
        <f t="shared" si="1"/>
        <v/>
      </c>
      <c r="L50" s="44"/>
    </row>
    <row r="51" spans="2:12" s="46" customFormat="1" ht="14.25" customHeight="1">
      <c r="B51" s="38"/>
      <c r="C51" s="44"/>
      <c r="D51" s="137"/>
      <c r="E51" s="137"/>
      <c r="F51" s="137"/>
      <c r="G51" s="327"/>
      <c r="H51" s="263"/>
      <c r="I51" s="45"/>
      <c r="J51" s="149" t="str">
        <f t="shared" si="0"/>
        <v/>
      </c>
      <c r="K51" s="151" t="str">
        <f t="shared" si="1"/>
        <v/>
      </c>
      <c r="L51" s="44"/>
    </row>
    <row r="52" spans="2:12" s="46" customFormat="1" ht="14.25" customHeight="1">
      <c r="B52" s="38"/>
      <c r="C52" s="44"/>
      <c r="D52" s="137"/>
      <c r="E52" s="137"/>
      <c r="F52" s="137"/>
      <c r="G52" s="327"/>
      <c r="H52" s="263"/>
      <c r="I52" s="45"/>
      <c r="J52" s="149" t="str">
        <f t="shared" si="0"/>
        <v/>
      </c>
      <c r="K52" s="151" t="str">
        <f t="shared" si="1"/>
        <v/>
      </c>
      <c r="L52" s="44"/>
    </row>
    <row r="53" spans="2:12" s="46" customFormat="1" ht="14.25" customHeight="1">
      <c r="B53" s="38"/>
      <c r="C53" s="44"/>
      <c r="D53" s="137"/>
      <c r="E53" s="137"/>
      <c r="F53" s="137"/>
      <c r="G53" s="327"/>
      <c r="H53" s="263"/>
      <c r="I53" s="45"/>
      <c r="J53" s="149" t="str">
        <f t="shared" si="0"/>
        <v/>
      </c>
      <c r="K53" s="151" t="str">
        <f t="shared" si="1"/>
        <v/>
      </c>
      <c r="L53" s="44"/>
    </row>
    <row r="54" spans="2:12" s="46" customFormat="1" ht="14.25" customHeight="1">
      <c r="B54" s="38"/>
      <c r="C54" s="44"/>
      <c r="D54" s="137"/>
      <c r="E54" s="137"/>
      <c r="F54" s="137"/>
      <c r="G54" s="327"/>
      <c r="H54" s="263"/>
      <c r="I54" s="45"/>
      <c r="J54" s="149" t="str">
        <f t="shared" si="0"/>
        <v/>
      </c>
      <c r="K54" s="151" t="str">
        <f t="shared" si="1"/>
        <v/>
      </c>
      <c r="L54" s="44"/>
    </row>
    <row r="55" spans="2:12" s="46" customFormat="1" ht="14.25" customHeight="1">
      <c r="B55" s="38"/>
      <c r="C55" s="44"/>
      <c r="D55" s="137"/>
      <c r="E55" s="137"/>
      <c r="F55" s="137"/>
      <c r="G55" s="327"/>
      <c r="H55" s="263"/>
      <c r="I55" s="45"/>
      <c r="J55" s="149" t="str">
        <f t="shared" si="0"/>
        <v/>
      </c>
      <c r="K55" s="151" t="str">
        <f t="shared" si="1"/>
        <v/>
      </c>
      <c r="L55" s="44"/>
    </row>
    <row r="56" spans="2:12" s="46" customFormat="1" ht="14.25" customHeight="1">
      <c r="B56" s="38"/>
      <c r="C56" s="44"/>
      <c r="D56" s="137"/>
      <c r="E56" s="137"/>
      <c r="F56" s="137"/>
      <c r="G56" s="327"/>
      <c r="H56" s="263"/>
      <c r="I56" s="45"/>
      <c r="J56" s="149" t="str">
        <f t="shared" si="0"/>
        <v/>
      </c>
      <c r="K56" s="151" t="str">
        <f t="shared" si="1"/>
        <v/>
      </c>
      <c r="L56" s="44"/>
    </row>
    <row r="57" spans="2:12" s="46" customFormat="1" ht="14.25" customHeight="1">
      <c r="B57" s="38"/>
      <c r="C57" s="44"/>
      <c r="D57" s="137"/>
      <c r="E57" s="137"/>
      <c r="F57" s="137"/>
      <c r="G57" s="327"/>
      <c r="H57" s="263"/>
      <c r="I57" s="45"/>
      <c r="J57" s="149" t="str">
        <f t="shared" si="0"/>
        <v/>
      </c>
      <c r="K57" s="151" t="str">
        <f t="shared" si="1"/>
        <v/>
      </c>
      <c r="L57" s="44"/>
    </row>
    <row r="58" spans="2:12" s="46" customFormat="1" ht="14.25" customHeight="1">
      <c r="B58" s="38"/>
      <c r="C58" s="44"/>
      <c r="D58" s="137"/>
      <c r="E58" s="137"/>
      <c r="F58" s="137"/>
      <c r="G58" s="327"/>
      <c r="H58" s="263"/>
      <c r="I58" s="45"/>
      <c r="J58" s="149" t="str">
        <f t="shared" si="0"/>
        <v/>
      </c>
      <c r="K58" s="151" t="str">
        <f t="shared" si="1"/>
        <v/>
      </c>
      <c r="L58" s="44"/>
    </row>
    <row r="59" spans="2:12" s="46" customFormat="1" ht="14.25" customHeight="1">
      <c r="B59" s="38"/>
      <c r="C59" s="44"/>
      <c r="D59" s="137"/>
      <c r="E59" s="137"/>
      <c r="F59" s="137"/>
      <c r="G59" s="327"/>
      <c r="H59" s="263"/>
      <c r="I59" s="45"/>
      <c r="J59" s="149" t="str">
        <f t="shared" si="0"/>
        <v/>
      </c>
      <c r="K59" s="151" t="str">
        <f t="shared" si="1"/>
        <v/>
      </c>
      <c r="L59" s="44"/>
    </row>
    <row r="60" spans="2:12" s="46" customFormat="1" ht="14.25" customHeight="1">
      <c r="B60" s="38"/>
      <c r="C60" s="44"/>
      <c r="D60" s="137"/>
      <c r="E60" s="137"/>
      <c r="F60" s="137"/>
      <c r="G60" s="327"/>
      <c r="H60" s="263"/>
      <c r="I60" s="45"/>
      <c r="J60" s="149" t="str">
        <f t="shared" si="0"/>
        <v/>
      </c>
      <c r="K60" s="151" t="str">
        <f t="shared" si="1"/>
        <v/>
      </c>
      <c r="L60" s="44"/>
    </row>
    <row r="61" spans="2:12" s="46" customFormat="1" ht="14.25" customHeight="1">
      <c r="B61" s="38"/>
      <c r="C61" s="44"/>
      <c r="D61" s="137"/>
      <c r="E61" s="137"/>
      <c r="F61" s="137"/>
      <c r="G61" s="327"/>
      <c r="H61" s="263"/>
      <c r="I61" s="45"/>
      <c r="J61" s="149" t="str">
        <f t="shared" si="0"/>
        <v/>
      </c>
      <c r="K61" s="151" t="str">
        <f t="shared" si="1"/>
        <v/>
      </c>
      <c r="L61" s="44"/>
    </row>
    <row r="62" spans="2:12" s="46" customFormat="1" ht="14.25" customHeight="1">
      <c r="B62" s="38"/>
      <c r="C62" s="44"/>
      <c r="D62" s="137"/>
      <c r="E62" s="137"/>
      <c r="F62" s="137"/>
      <c r="G62" s="327"/>
      <c r="H62" s="263"/>
      <c r="I62" s="45"/>
      <c r="J62" s="149" t="str">
        <f t="shared" si="0"/>
        <v/>
      </c>
      <c r="K62" s="151" t="str">
        <f t="shared" si="1"/>
        <v/>
      </c>
      <c r="L62" s="44"/>
    </row>
    <row r="63" spans="2:12" s="46" customFormat="1" ht="14.25" customHeight="1">
      <c r="B63" s="38"/>
      <c r="C63" s="44"/>
      <c r="D63" s="137"/>
      <c r="E63" s="137"/>
      <c r="F63" s="137"/>
      <c r="G63" s="327"/>
      <c r="H63" s="263"/>
      <c r="I63" s="45"/>
      <c r="J63" s="149" t="str">
        <f t="shared" si="0"/>
        <v/>
      </c>
      <c r="K63" s="151" t="str">
        <f t="shared" si="1"/>
        <v/>
      </c>
      <c r="L63" s="44"/>
    </row>
    <row r="64" spans="2:12" s="46" customFormat="1" ht="14.25" customHeight="1">
      <c r="B64" s="38"/>
      <c r="C64" s="44"/>
      <c r="D64" s="137"/>
      <c r="E64" s="137"/>
      <c r="F64" s="137"/>
      <c r="G64" s="327"/>
      <c r="H64" s="263"/>
      <c r="I64" s="45"/>
      <c r="J64" s="149" t="str">
        <f t="shared" si="0"/>
        <v/>
      </c>
      <c r="K64" s="151" t="str">
        <f t="shared" si="1"/>
        <v/>
      </c>
      <c r="L64" s="44"/>
    </row>
    <row r="65" spans="2:12" s="46" customFormat="1" ht="14.25" customHeight="1">
      <c r="B65" s="38"/>
      <c r="C65" s="44"/>
      <c r="D65" s="137"/>
      <c r="E65" s="137"/>
      <c r="F65" s="137"/>
      <c r="G65" s="327"/>
      <c r="H65" s="263"/>
      <c r="I65" s="45"/>
      <c r="J65" s="149" t="str">
        <f t="shared" si="0"/>
        <v/>
      </c>
      <c r="K65" s="151" t="str">
        <f t="shared" si="1"/>
        <v/>
      </c>
      <c r="L65" s="44"/>
    </row>
    <row r="66" spans="2:12" s="46" customFormat="1" ht="14.25" customHeight="1">
      <c r="B66" s="38"/>
      <c r="C66" s="44"/>
      <c r="D66" s="137"/>
      <c r="E66" s="137"/>
      <c r="F66" s="137"/>
      <c r="G66" s="327"/>
      <c r="H66" s="263"/>
      <c r="I66" s="45"/>
      <c r="J66" s="149" t="str">
        <f t="shared" si="0"/>
        <v/>
      </c>
      <c r="K66" s="151" t="str">
        <f t="shared" si="1"/>
        <v/>
      </c>
      <c r="L66" s="44"/>
    </row>
    <row r="67" spans="2:12" s="46" customFormat="1" ht="14.25" customHeight="1">
      <c r="B67" s="38"/>
      <c r="C67" s="44"/>
      <c r="D67" s="137"/>
      <c r="E67" s="137"/>
      <c r="F67" s="137"/>
      <c r="G67" s="327"/>
      <c r="H67" s="263"/>
      <c r="I67" s="45"/>
      <c r="J67" s="149" t="str">
        <f t="shared" si="0"/>
        <v/>
      </c>
      <c r="K67" s="151" t="str">
        <f t="shared" si="1"/>
        <v/>
      </c>
      <c r="L67" s="44"/>
    </row>
    <row r="68" spans="2:12" s="46" customFormat="1" ht="14.25" customHeight="1">
      <c r="B68" s="38"/>
      <c r="C68" s="44"/>
      <c r="D68" s="137"/>
      <c r="E68" s="137"/>
      <c r="F68" s="137"/>
      <c r="G68" s="327"/>
      <c r="H68" s="263"/>
      <c r="I68" s="45"/>
      <c r="J68" s="149" t="str">
        <f t="shared" si="0"/>
        <v/>
      </c>
      <c r="K68" s="151" t="str">
        <f t="shared" si="1"/>
        <v/>
      </c>
      <c r="L68" s="44"/>
    </row>
    <row r="69" spans="2:12" s="46" customFormat="1" ht="14.25" customHeight="1">
      <c r="B69" s="38"/>
      <c r="C69" s="44"/>
      <c r="D69" s="137"/>
      <c r="E69" s="137"/>
      <c r="F69" s="137"/>
      <c r="G69" s="327"/>
      <c r="H69" s="263"/>
      <c r="I69" s="45"/>
      <c r="J69" s="149" t="str">
        <f t="shared" si="0"/>
        <v/>
      </c>
      <c r="K69" s="151" t="str">
        <f t="shared" si="1"/>
        <v/>
      </c>
      <c r="L69" s="44"/>
    </row>
    <row r="70" spans="2:12" s="46" customFormat="1" ht="14.25" customHeight="1">
      <c r="B70" s="38"/>
      <c r="C70" s="44"/>
      <c r="D70" s="137"/>
      <c r="E70" s="137"/>
      <c r="F70" s="137"/>
      <c r="G70" s="327"/>
      <c r="H70" s="263"/>
      <c r="I70" s="45"/>
      <c r="J70" s="149" t="str">
        <f t="shared" si="0"/>
        <v/>
      </c>
      <c r="K70" s="151" t="str">
        <f t="shared" si="1"/>
        <v/>
      </c>
      <c r="L70" s="44"/>
    </row>
    <row r="71" spans="2:12" s="46" customFormat="1" ht="14.25" customHeight="1">
      <c r="B71" s="38"/>
      <c r="C71" s="44"/>
      <c r="D71" s="137"/>
      <c r="E71" s="137"/>
      <c r="F71" s="137"/>
      <c r="G71" s="327"/>
      <c r="H71" s="263"/>
      <c r="I71" s="45"/>
      <c r="J71" s="149" t="str">
        <f t="shared" si="0"/>
        <v/>
      </c>
      <c r="K71" s="151" t="str">
        <f t="shared" si="1"/>
        <v/>
      </c>
      <c r="L71" s="44"/>
    </row>
    <row r="72" spans="2:12" s="46" customFormat="1" ht="14.25" customHeight="1">
      <c r="B72" s="38"/>
      <c r="C72" s="44"/>
      <c r="D72" s="137"/>
      <c r="E72" s="137"/>
      <c r="F72" s="137"/>
      <c r="G72" s="327"/>
      <c r="H72" s="263"/>
      <c r="I72" s="45"/>
      <c r="J72" s="149" t="str">
        <f t="shared" si="0"/>
        <v/>
      </c>
      <c r="K72" s="151" t="str">
        <f t="shared" si="1"/>
        <v/>
      </c>
      <c r="L72" s="44"/>
    </row>
    <row r="73" spans="2:12" s="46" customFormat="1" ht="14.25" customHeight="1">
      <c r="B73" s="38"/>
      <c r="C73" s="44"/>
      <c r="D73" s="137"/>
      <c r="E73" s="137"/>
      <c r="F73" s="137"/>
      <c r="G73" s="327"/>
      <c r="H73" s="263"/>
      <c r="I73" s="45"/>
      <c r="J73" s="149" t="str">
        <f t="shared" si="0"/>
        <v/>
      </c>
      <c r="K73" s="151" t="str">
        <f t="shared" si="1"/>
        <v/>
      </c>
      <c r="L73" s="44"/>
    </row>
    <row r="74" spans="2:12" s="46" customFormat="1" ht="14.25" customHeight="1">
      <c r="B74" s="38"/>
      <c r="C74" s="44"/>
      <c r="D74" s="137"/>
      <c r="E74" s="137"/>
      <c r="F74" s="137"/>
      <c r="G74" s="327"/>
      <c r="H74" s="263"/>
      <c r="I74" s="45"/>
      <c r="J74" s="149" t="str">
        <f t="shared" si="0"/>
        <v/>
      </c>
      <c r="K74" s="151" t="str">
        <f t="shared" si="1"/>
        <v/>
      </c>
      <c r="L74" s="44"/>
    </row>
    <row r="75" spans="2:12" s="46" customFormat="1" ht="14.25" customHeight="1">
      <c r="B75" s="38"/>
      <c r="C75" s="44"/>
      <c r="D75" s="137"/>
      <c r="E75" s="137"/>
      <c r="F75" s="137"/>
      <c r="G75" s="327"/>
      <c r="H75" s="263"/>
      <c r="I75" s="45"/>
      <c r="J75" s="149" t="str">
        <f t="shared" ref="J75:J138" si="2">IF($C75&lt;&gt;"",$E75*1.5,"")</f>
        <v/>
      </c>
      <c r="K75" s="151" t="str">
        <f t="shared" ref="K75:K138" si="3">IFERROR($J75/10,"")</f>
        <v/>
      </c>
      <c r="L75" s="44"/>
    </row>
    <row r="76" spans="2:12" s="46" customFormat="1" ht="14.25" customHeight="1">
      <c r="B76" s="38"/>
      <c r="C76" s="44"/>
      <c r="D76" s="137"/>
      <c r="E76" s="137"/>
      <c r="F76" s="137"/>
      <c r="G76" s="327"/>
      <c r="H76" s="263"/>
      <c r="I76" s="45"/>
      <c r="J76" s="149" t="str">
        <f t="shared" si="2"/>
        <v/>
      </c>
      <c r="K76" s="151" t="str">
        <f t="shared" si="3"/>
        <v/>
      </c>
      <c r="L76" s="44"/>
    </row>
    <row r="77" spans="2:12" s="46" customFormat="1" ht="14.25" customHeight="1">
      <c r="B77" s="38"/>
      <c r="C77" s="44"/>
      <c r="D77" s="137"/>
      <c r="E77" s="137"/>
      <c r="F77" s="137"/>
      <c r="G77" s="327"/>
      <c r="H77" s="263"/>
      <c r="I77" s="45"/>
      <c r="J77" s="149" t="str">
        <f t="shared" si="2"/>
        <v/>
      </c>
      <c r="K77" s="151" t="str">
        <f t="shared" si="3"/>
        <v/>
      </c>
      <c r="L77" s="44"/>
    </row>
    <row r="78" spans="2:12" s="46" customFormat="1" ht="14.25" customHeight="1">
      <c r="B78" s="38"/>
      <c r="C78" s="44"/>
      <c r="D78" s="137"/>
      <c r="E78" s="137"/>
      <c r="F78" s="137"/>
      <c r="G78" s="327"/>
      <c r="H78" s="263"/>
      <c r="I78" s="45"/>
      <c r="J78" s="149" t="str">
        <f t="shared" si="2"/>
        <v/>
      </c>
      <c r="K78" s="151" t="str">
        <f t="shared" si="3"/>
        <v/>
      </c>
      <c r="L78" s="44"/>
    </row>
    <row r="79" spans="2:12" s="46" customFormat="1" ht="14.25" customHeight="1">
      <c r="B79" s="38"/>
      <c r="C79" s="44"/>
      <c r="D79" s="137"/>
      <c r="E79" s="137"/>
      <c r="F79" s="137"/>
      <c r="G79" s="327"/>
      <c r="H79" s="263"/>
      <c r="I79" s="45"/>
      <c r="J79" s="149" t="str">
        <f t="shared" si="2"/>
        <v/>
      </c>
      <c r="K79" s="151" t="str">
        <f t="shared" si="3"/>
        <v/>
      </c>
      <c r="L79" s="44"/>
    </row>
    <row r="80" spans="2:12" s="46" customFormat="1" ht="14.25" customHeight="1">
      <c r="B80" s="38"/>
      <c r="C80" s="44"/>
      <c r="D80" s="137"/>
      <c r="E80" s="137"/>
      <c r="F80" s="137"/>
      <c r="G80" s="327"/>
      <c r="H80" s="263"/>
      <c r="I80" s="45"/>
      <c r="J80" s="149" t="str">
        <f t="shared" si="2"/>
        <v/>
      </c>
      <c r="K80" s="151" t="str">
        <f t="shared" si="3"/>
        <v/>
      </c>
      <c r="L80" s="44"/>
    </row>
    <row r="81" spans="2:12" s="46" customFormat="1" ht="14.25" customHeight="1">
      <c r="B81" s="38"/>
      <c r="C81" s="44"/>
      <c r="D81" s="137"/>
      <c r="E81" s="137"/>
      <c r="F81" s="137"/>
      <c r="G81" s="327"/>
      <c r="H81" s="263"/>
      <c r="I81" s="45"/>
      <c r="J81" s="149" t="str">
        <f t="shared" si="2"/>
        <v/>
      </c>
      <c r="K81" s="151" t="str">
        <f t="shared" si="3"/>
        <v/>
      </c>
      <c r="L81" s="44"/>
    </row>
    <row r="82" spans="2:12" s="46" customFormat="1" ht="14.25" customHeight="1">
      <c r="B82" s="38"/>
      <c r="C82" s="44"/>
      <c r="D82" s="137"/>
      <c r="E82" s="137"/>
      <c r="F82" s="137"/>
      <c r="G82" s="327"/>
      <c r="H82" s="263"/>
      <c r="I82" s="45"/>
      <c r="J82" s="149" t="str">
        <f t="shared" si="2"/>
        <v/>
      </c>
      <c r="K82" s="151" t="str">
        <f t="shared" si="3"/>
        <v/>
      </c>
      <c r="L82" s="44"/>
    </row>
    <row r="83" spans="2:12" s="46" customFormat="1" ht="14.25" customHeight="1">
      <c r="B83" s="38"/>
      <c r="C83" s="44"/>
      <c r="D83" s="137"/>
      <c r="E83" s="137"/>
      <c r="F83" s="137"/>
      <c r="G83" s="327"/>
      <c r="H83" s="263"/>
      <c r="I83" s="45"/>
      <c r="J83" s="149" t="str">
        <f t="shared" si="2"/>
        <v/>
      </c>
      <c r="K83" s="151" t="str">
        <f t="shared" si="3"/>
        <v/>
      </c>
      <c r="L83" s="44"/>
    </row>
    <row r="84" spans="2:12" s="46" customFormat="1" ht="14.25" customHeight="1">
      <c r="B84" s="38"/>
      <c r="C84" s="44"/>
      <c r="D84" s="137"/>
      <c r="E84" s="137"/>
      <c r="F84" s="137"/>
      <c r="G84" s="327"/>
      <c r="H84" s="263"/>
      <c r="I84" s="45"/>
      <c r="J84" s="149" t="str">
        <f t="shared" si="2"/>
        <v/>
      </c>
      <c r="K84" s="151" t="str">
        <f t="shared" si="3"/>
        <v/>
      </c>
      <c r="L84" s="44"/>
    </row>
    <row r="85" spans="2:12" s="46" customFormat="1" ht="14.25" customHeight="1">
      <c r="B85" s="38"/>
      <c r="C85" s="44"/>
      <c r="D85" s="137"/>
      <c r="E85" s="137"/>
      <c r="F85" s="137"/>
      <c r="G85" s="327"/>
      <c r="H85" s="263"/>
      <c r="I85" s="45"/>
      <c r="J85" s="149" t="str">
        <f t="shared" si="2"/>
        <v/>
      </c>
      <c r="K85" s="151" t="str">
        <f t="shared" si="3"/>
        <v/>
      </c>
      <c r="L85" s="44"/>
    </row>
    <row r="86" spans="2:12" s="46" customFormat="1" ht="14.25" customHeight="1">
      <c r="B86" s="38"/>
      <c r="C86" s="44"/>
      <c r="D86" s="137"/>
      <c r="E86" s="137"/>
      <c r="F86" s="137"/>
      <c r="G86" s="327"/>
      <c r="H86" s="263"/>
      <c r="I86" s="45"/>
      <c r="J86" s="149" t="str">
        <f t="shared" si="2"/>
        <v/>
      </c>
      <c r="K86" s="151" t="str">
        <f t="shared" si="3"/>
        <v/>
      </c>
      <c r="L86" s="44"/>
    </row>
    <row r="87" spans="2:12" s="46" customFormat="1" ht="14.25" customHeight="1">
      <c r="B87" s="38"/>
      <c r="C87" s="44"/>
      <c r="D87" s="137"/>
      <c r="E87" s="137"/>
      <c r="F87" s="137"/>
      <c r="G87" s="327"/>
      <c r="H87" s="263"/>
      <c r="I87" s="45"/>
      <c r="J87" s="149" t="str">
        <f t="shared" si="2"/>
        <v/>
      </c>
      <c r="K87" s="151" t="str">
        <f t="shared" si="3"/>
        <v/>
      </c>
      <c r="L87" s="44"/>
    </row>
    <row r="88" spans="2:12" s="46" customFormat="1" ht="14.25" customHeight="1">
      <c r="B88" s="38"/>
      <c r="C88" s="44"/>
      <c r="D88" s="137"/>
      <c r="E88" s="137"/>
      <c r="F88" s="137"/>
      <c r="G88" s="327"/>
      <c r="H88" s="263"/>
      <c r="I88" s="45"/>
      <c r="J88" s="149" t="str">
        <f t="shared" si="2"/>
        <v/>
      </c>
      <c r="K88" s="151" t="str">
        <f t="shared" si="3"/>
        <v/>
      </c>
      <c r="L88" s="44"/>
    </row>
    <row r="89" spans="2:12" s="46" customFormat="1" ht="14.25" customHeight="1">
      <c r="B89" s="38"/>
      <c r="C89" s="44"/>
      <c r="D89" s="137"/>
      <c r="E89" s="137"/>
      <c r="F89" s="137"/>
      <c r="G89" s="327"/>
      <c r="H89" s="263"/>
      <c r="I89" s="45"/>
      <c r="J89" s="149" t="str">
        <f t="shared" si="2"/>
        <v/>
      </c>
      <c r="K89" s="151" t="str">
        <f t="shared" si="3"/>
        <v/>
      </c>
      <c r="L89" s="44"/>
    </row>
    <row r="90" spans="2:12" s="46" customFormat="1" ht="14.25" customHeight="1">
      <c r="B90" s="38"/>
      <c r="C90" s="44"/>
      <c r="D90" s="137"/>
      <c r="E90" s="137"/>
      <c r="F90" s="137"/>
      <c r="G90" s="327"/>
      <c r="H90" s="263"/>
      <c r="I90" s="45"/>
      <c r="J90" s="149" t="str">
        <f t="shared" si="2"/>
        <v/>
      </c>
      <c r="K90" s="151" t="str">
        <f t="shared" si="3"/>
        <v/>
      </c>
      <c r="L90" s="44"/>
    </row>
    <row r="91" spans="2:12" s="46" customFormat="1" ht="14.25" customHeight="1">
      <c r="B91" s="38"/>
      <c r="C91" s="44"/>
      <c r="D91" s="137"/>
      <c r="E91" s="137"/>
      <c r="F91" s="137"/>
      <c r="G91" s="327"/>
      <c r="H91" s="263"/>
      <c r="I91" s="45"/>
      <c r="J91" s="149" t="str">
        <f t="shared" si="2"/>
        <v/>
      </c>
      <c r="K91" s="151" t="str">
        <f t="shared" si="3"/>
        <v/>
      </c>
      <c r="L91" s="44"/>
    </row>
    <row r="92" spans="2:12" s="46" customFormat="1" ht="14.25" customHeight="1">
      <c r="B92" s="38"/>
      <c r="C92" s="44"/>
      <c r="D92" s="137"/>
      <c r="E92" s="137"/>
      <c r="F92" s="137"/>
      <c r="G92" s="327"/>
      <c r="H92" s="263"/>
      <c r="I92" s="45"/>
      <c r="J92" s="149" t="str">
        <f t="shared" si="2"/>
        <v/>
      </c>
      <c r="K92" s="151" t="str">
        <f t="shared" si="3"/>
        <v/>
      </c>
      <c r="L92" s="44"/>
    </row>
    <row r="93" spans="2:12" s="46" customFormat="1" ht="14.25" customHeight="1">
      <c r="B93" s="38"/>
      <c r="C93" s="44"/>
      <c r="D93" s="137"/>
      <c r="E93" s="137"/>
      <c r="F93" s="137"/>
      <c r="G93" s="327"/>
      <c r="H93" s="263"/>
      <c r="I93" s="45"/>
      <c r="J93" s="149" t="str">
        <f t="shared" si="2"/>
        <v/>
      </c>
      <c r="K93" s="151" t="str">
        <f t="shared" si="3"/>
        <v/>
      </c>
      <c r="L93" s="44"/>
    </row>
    <row r="94" spans="2:12" s="46" customFormat="1" ht="14.25" customHeight="1">
      <c r="B94" s="38"/>
      <c r="C94" s="44"/>
      <c r="D94" s="137"/>
      <c r="E94" s="137"/>
      <c r="F94" s="137"/>
      <c r="G94" s="327"/>
      <c r="H94" s="263"/>
      <c r="I94" s="45"/>
      <c r="J94" s="149" t="str">
        <f t="shared" si="2"/>
        <v/>
      </c>
      <c r="K94" s="151" t="str">
        <f t="shared" si="3"/>
        <v/>
      </c>
      <c r="L94" s="44"/>
    </row>
    <row r="95" spans="2:12" s="46" customFormat="1" ht="14.25" customHeight="1">
      <c r="B95" s="38"/>
      <c r="C95" s="44"/>
      <c r="D95" s="137"/>
      <c r="E95" s="137"/>
      <c r="F95" s="137"/>
      <c r="G95" s="327"/>
      <c r="H95" s="263"/>
      <c r="I95" s="45"/>
      <c r="J95" s="149" t="str">
        <f t="shared" si="2"/>
        <v/>
      </c>
      <c r="K95" s="151" t="str">
        <f t="shared" si="3"/>
        <v/>
      </c>
      <c r="L95" s="44"/>
    </row>
    <row r="96" spans="2:12" s="46" customFormat="1" ht="14.25" customHeight="1">
      <c r="B96" s="38"/>
      <c r="C96" s="44"/>
      <c r="D96" s="137"/>
      <c r="E96" s="137"/>
      <c r="F96" s="137"/>
      <c r="G96" s="327"/>
      <c r="H96" s="263"/>
      <c r="I96" s="45"/>
      <c r="J96" s="149" t="str">
        <f t="shared" si="2"/>
        <v/>
      </c>
      <c r="K96" s="151" t="str">
        <f t="shared" si="3"/>
        <v/>
      </c>
      <c r="L96" s="44"/>
    </row>
    <row r="97" spans="2:12" s="46" customFormat="1" ht="14.25" customHeight="1">
      <c r="B97" s="38"/>
      <c r="C97" s="44"/>
      <c r="D97" s="137"/>
      <c r="E97" s="137"/>
      <c r="F97" s="137"/>
      <c r="G97" s="327"/>
      <c r="H97" s="263"/>
      <c r="I97" s="45"/>
      <c r="J97" s="149" t="str">
        <f t="shared" si="2"/>
        <v/>
      </c>
      <c r="K97" s="151" t="str">
        <f t="shared" si="3"/>
        <v/>
      </c>
      <c r="L97" s="44"/>
    </row>
    <row r="98" spans="2:12" s="46" customFormat="1" ht="14.25" customHeight="1">
      <c r="B98" s="38"/>
      <c r="C98" s="44"/>
      <c r="D98" s="137"/>
      <c r="E98" s="137"/>
      <c r="F98" s="137"/>
      <c r="G98" s="327"/>
      <c r="H98" s="263"/>
      <c r="I98" s="45"/>
      <c r="J98" s="149" t="str">
        <f t="shared" si="2"/>
        <v/>
      </c>
      <c r="K98" s="151" t="str">
        <f t="shared" si="3"/>
        <v/>
      </c>
      <c r="L98" s="44"/>
    </row>
    <row r="99" spans="2:12" s="46" customFormat="1" ht="14.25" customHeight="1">
      <c r="B99" s="38"/>
      <c r="C99" s="44"/>
      <c r="D99" s="137"/>
      <c r="E99" s="137"/>
      <c r="F99" s="137"/>
      <c r="G99" s="327"/>
      <c r="H99" s="263"/>
      <c r="I99" s="45"/>
      <c r="J99" s="149" t="str">
        <f t="shared" si="2"/>
        <v/>
      </c>
      <c r="K99" s="151" t="str">
        <f t="shared" si="3"/>
        <v/>
      </c>
      <c r="L99" s="44"/>
    </row>
    <row r="100" spans="2:12" s="46" customFormat="1" ht="14.25" customHeight="1">
      <c r="B100" s="38"/>
      <c r="C100" s="44"/>
      <c r="D100" s="137"/>
      <c r="E100" s="137"/>
      <c r="F100" s="137"/>
      <c r="G100" s="327"/>
      <c r="H100" s="263"/>
      <c r="I100" s="45"/>
      <c r="J100" s="149" t="str">
        <f t="shared" si="2"/>
        <v/>
      </c>
      <c r="K100" s="151" t="str">
        <f t="shared" si="3"/>
        <v/>
      </c>
      <c r="L100" s="44"/>
    </row>
    <row r="101" spans="2:12" s="46" customFormat="1" ht="14.25" customHeight="1">
      <c r="B101" s="38"/>
      <c r="C101" s="44"/>
      <c r="D101" s="137"/>
      <c r="E101" s="137"/>
      <c r="F101" s="137"/>
      <c r="G101" s="327"/>
      <c r="H101" s="263"/>
      <c r="I101" s="45"/>
      <c r="J101" s="149" t="str">
        <f t="shared" si="2"/>
        <v/>
      </c>
      <c r="K101" s="151" t="str">
        <f t="shared" si="3"/>
        <v/>
      </c>
      <c r="L101" s="44"/>
    </row>
    <row r="102" spans="2:12" s="46" customFormat="1" ht="14.25" customHeight="1">
      <c r="B102" s="38"/>
      <c r="C102" s="44"/>
      <c r="D102" s="137"/>
      <c r="E102" s="137"/>
      <c r="F102" s="137"/>
      <c r="G102" s="327"/>
      <c r="H102" s="263"/>
      <c r="I102" s="45"/>
      <c r="J102" s="149" t="str">
        <f t="shared" si="2"/>
        <v/>
      </c>
      <c r="K102" s="151" t="str">
        <f t="shared" si="3"/>
        <v/>
      </c>
      <c r="L102" s="44"/>
    </row>
    <row r="103" spans="2:12" s="46" customFormat="1" ht="14.25" customHeight="1">
      <c r="B103" s="38"/>
      <c r="C103" s="44"/>
      <c r="D103" s="137"/>
      <c r="E103" s="137"/>
      <c r="F103" s="137"/>
      <c r="G103" s="327"/>
      <c r="H103" s="263"/>
      <c r="I103" s="45"/>
      <c r="J103" s="149" t="str">
        <f t="shared" si="2"/>
        <v/>
      </c>
      <c r="K103" s="151" t="str">
        <f t="shared" si="3"/>
        <v/>
      </c>
      <c r="L103" s="44"/>
    </row>
    <row r="104" spans="2:12" s="46" customFormat="1" ht="14.25" customHeight="1">
      <c r="B104" s="38"/>
      <c r="C104" s="44"/>
      <c r="D104" s="137"/>
      <c r="E104" s="137"/>
      <c r="F104" s="137"/>
      <c r="G104" s="327"/>
      <c r="H104" s="263"/>
      <c r="I104" s="45"/>
      <c r="J104" s="149" t="str">
        <f t="shared" si="2"/>
        <v/>
      </c>
      <c r="K104" s="151" t="str">
        <f t="shared" si="3"/>
        <v/>
      </c>
      <c r="L104" s="44"/>
    </row>
    <row r="105" spans="2:12" s="46" customFormat="1" ht="14.25" customHeight="1">
      <c r="B105" s="38"/>
      <c r="C105" s="44"/>
      <c r="D105" s="137"/>
      <c r="E105" s="137"/>
      <c r="F105" s="137"/>
      <c r="G105" s="327"/>
      <c r="H105" s="263"/>
      <c r="I105" s="45"/>
      <c r="J105" s="149" t="str">
        <f t="shared" si="2"/>
        <v/>
      </c>
      <c r="K105" s="151" t="str">
        <f t="shared" si="3"/>
        <v/>
      </c>
      <c r="L105" s="44"/>
    </row>
    <row r="106" spans="2:12" s="46" customFormat="1" ht="14.25" customHeight="1">
      <c r="B106" s="38"/>
      <c r="C106" s="44"/>
      <c r="D106" s="137"/>
      <c r="E106" s="137"/>
      <c r="F106" s="137"/>
      <c r="G106" s="327"/>
      <c r="H106" s="263"/>
      <c r="I106" s="45"/>
      <c r="J106" s="149" t="str">
        <f t="shared" si="2"/>
        <v/>
      </c>
      <c r="K106" s="151" t="str">
        <f t="shared" si="3"/>
        <v/>
      </c>
      <c r="L106" s="44"/>
    </row>
    <row r="107" spans="2:12" s="46" customFormat="1" ht="14.25" customHeight="1">
      <c r="B107" s="38"/>
      <c r="C107" s="44"/>
      <c r="D107" s="137"/>
      <c r="E107" s="137"/>
      <c r="F107" s="137"/>
      <c r="G107" s="327"/>
      <c r="H107" s="263"/>
      <c r="I107" s="45"/>
      <c r="J107" s="149" t="str">
        <f t="shared" si="2"/>
        <v/>
      </c>
      <c r="K107" s="151" t="str">
        <f t="shared" si="3"/>
        <v/>
      </c>
      <c r="L107" s="44"/>
    </row>
    <row r="108" spans="2:12" s="46" customFormat="1" ht="14.25" customHeight="1">
      <c r="B108" s="38"/>
      <c r="C108" s="44"/>
      <c r="D108" s="137"/>
      <c r="E108" s="137"/>
      <c r="F108" s="137"/>
      <c r="G108" s="327"/>
      <c r="H108" s="263"/>
      <c r="I108" s="45"/>
      <c r="J108" s="149" t="str">
        <f t="shared" si="2"/>
        <v/>
      </c>
      <c r="K108" s="151" t="str">
        <f t="shared" si="3"/>
        <v/>
      </c>
      <c r="L108" s="44"/>
    </row>
    <row r="109" spans="2:12" s="46" customFormat="1" ht="14.25" customHeight="1">
      <c r="B109" s="38"/>
      <c r="C109" s="44"/>
      <c r="D109" s="137"/>
      <c r="E109" s="137"/>
      <c r="F109" s="137"/>
      <c r="G109" s="327"/>
      <c r="H109" s="263"/>
      <c r="I109" s="45"/>
      <c r="J109" s="149" t="str">
        <f t="shared" si="2"/>
        <v/>
      </c>
      <c r="K109" s="151" t="str">
        <f t="shared" si="3"/>
        <v/>
      </c>
      <c r="L109" s="44"/>
    </row>
    <row r="110" spans="2:12" s="46" customFormat="1" ht="14.25" customHeight="1">
      <c r="B110" s="38"/>
      <c r="C110" s="44"/>
      <c r="D110" s="137"/>
      <c r="E110" s="137"/>
      <c r="F110" s="137"/>
      <c r="G110" s="327"/>
      <c r="H110" s="263"/>
      <c r="I110" s="45"/>
      <c r="J110" s="149" t="str">
        <f t="shared" si="2"/>
        <v/>
      </c>
      <c r="K110" s="151" t="str">
        <f t="shared" si="3"/>
        <v/>
      </c>
      <c r="L110" s="44"/>
    </row>
    <row r="111" spans="2:12" s="46" customFormat="1" ht="14.25" customHeight="1">
      <c r="B111" s="38"/>
      <c r="C111" s="44"/>
      <c r="D111" s="137"/>
      <c r="E111" s="137"/>
      <c r="F111" s="137"/>
      <c r="G111" s="327"/>
      <c r="H111" s="263"/>
      <c r="I111" s="45"/>
      <c r="J111" s="149" t="str">
        <f t="shared" si="2"/>
        <v/>
      </c>
      <c r="K111" s="151" t="str">
        <f t="shared" si="3"/>
        <v/>
      </c>
      <c r="L111" s="44"/>
    </row>
    <row r="112" spans="2:12" s="46" customFormat="1" ht="14.25" customHeight="1">
      <c r="B112" s="38"/>
      <c r="C112" s="44"/>
      <c r="D112" s="137"/>
      <c r="E112" s="137"/>
      <c r="F112" s="137"/>
      <c r="G112" s="327"/>
      <c r="H112" s="263"/>
      <c r="I112" s="45"/>
      <c r="J112" s="149" t="str">
        <f t="shared" si="2"/>
        <v/>
      </c>
      <c r="K112" s="151" t="str">
        <f t="shared" si="3"/>
        <v/>
      </c>
      <c r="L112" s="44"/>
    </row>
    <row r="113" spans="2:12" s="46" customFormat="1" ht="14.25" customHeight="1">
      <c r="B113" s="38"/>
      <c r="C113" s="44"/>
      <c r="D113" s="137"/>
      <c r="E113" s="137"/>
      <c r="F113" s="137"/>
      <c r="G113" s="327"/>
      <c r="H113" s="263"/>
      <c r="I113" s="45"/>
      <c r="J113" s="149" t="str">
        <f t="shared" si="2"/>
        <v/>
      </c>
      <c r="K113" s="151" t="str">
        <f t="shared" si="3"/>
        <v/>
      </c>
      <c r="L113" s="44"/>
    </row>
    <row r="114" spans="2:12" s="46" customFormat="1" ht="14.25" customHeight="1">
      <c r="B114" s="38"/>
      <c r="C114" s="44"/>
      <c r="D114" s="137"/>
      <c r="E114" s="137"/>
      <c r="F114" s="137"/>
      <c r="G114" s="327"/>
      <c r="H114" s="263"/>
      <c r="I114" s="45"/>
      <c r="J114" s="149" t="str">
        <f t="shared" si="2"/>
        <v/>
      </c>
      <c r="K114" s="151" t="str">
        <f t="shared" si="3"/>
        <v/>
      </c>
      <c r="L114" s="44"/>
    </row>
    <row r="115" spans="2:12" s="46" customFormat="1" ht="14.25" customHeight="1">
      <c r="B115" s="38"/>
      <c r="C115" s="44"/>
      <c r="D115" s="137"/>
      <c r="E115" s="137"/>
      <c r="F115" s="137"/>
      <c r="G115" s="327"/>
      <c r="H115" s="263"/>
      <c r="I115" s="45"/>
      <c r="J115" s="149" t="str">
        <f t="shared" si="2"/>
        <v/>
      </c>
      <c r="K115" s="151" t="str">
        <f t="shared" si="3"/>
        <v/>
      </c>
      <c r="L115" s="44"/>
    </row>
    <row r="116" spans="2:12" s="46" customFormat="1" ht="14.25" customHeight="1">
      <c r="B116" s="38"/>
      <c r="C116" s="44"/>
      <c r="D116" s="137"/>
      <c r="E116" s="137"/>
      <c r="F116" s="137"/>
      <c r="G116" s="327"/>
      <c r="H116" s="263"/>
      <c r="I116" s="45"/>
      <c r="J116" s="149" t="str">
        <f t="shared" si="2"/>
        <v/>
      </c>
      <c r="K116" s="151" t="str">
        <f t="shared" si="3"/>
        <v/>
      </c>
      <c r="L116" s="44"/>
    </row>
    <row r="117" spans="2:12" s="46" customFormat="1" ht="14.25" customHeight="1">
      <c r="B117" s="38"/>
      <c r="C117" s="44"/>
      <c r="D117" s="137"/>
      <c r="E117" s="137"/>
      <c r="F117" s="137"/>
      <c r="G117" s="327"/>
      <c r="H117" s="263"/>
      <c r="I117" s="45"/>
      <c r="J117" s="149" t="str">
        <f t="shared" si="2"/>
        <v/>
      </c>
      <c r="K117" s="151" t="str">
        <f t="shared" si="3"/>
        <v/>
      </c>
      <c r="L117" s="44"/>
    </row>
    <row r="118" spans="2:12" s="46" customFormat="1" ht="14.25" customHeight="1">
      <c r="B118" s="38"/>
      <c r="C118" s="44"/>
      <c r="D118" s="137"/>
      <c r="E118" s="137"/>
      <c r="F118" s="137"/>
      <c r="G118" s="327"/>
      <c r="H118" s="263"/>
      <c r="I118" s="45"/>
      <c r="J118" s="149" t="str">
        <f t="shared" si="2"/>
        <v/>
      </c>
      <c r="K118" s="151" t="str">
        <f t="shared" si="3"/>
        <v/>
      </c>
      <c r="L118" s="44"/>
    </row>
    <row r="119" spans="2:12" s="46" customFormat="1" ht="14.25" customHeight="1">
      <c r="B119" s="38"/>
      <c r="C119" s="44"/>
      <c r="D119" s="137"/>
      <c r="E119" s="137"/>
      <c r="F119" s="137"/>
      <c r="G119" s="327"/>
      <c r="H119" s="263"/>
      <c r="I119" s="45"/>
      <c r="J119" s="149" t="str">
        <f t="shared" si="2"/>
        <v/>
      </c>
      <c r="K119" s="151" t="str">
        <f t="shared" si="3"/>
        <v/>
      </c>
      <c r="L119" s="44"/>
    </row>
    <row r="120" spans="2:12" s="46" customFormat="1" ht="14.25" customHeight="1">
      <c r="B120" s="38"/>
      <c r="C120" s="44"/>
      <c r="D120" s="137"/>
      <c r="E120" s="137"/>
      <c r="F120" s="137"/>
      <c r="G120" s="327"/>
      <c r="H120" s="263"/>
      <c r="I120" s="45"/>
      <c r="J120" s="149" t="str">
        <f t="shared" si="2"/>
        <v/>
      </c>
      <c r="K120" s="151" t="str">
        <f t="shared" si="3"/>
        <v/>
      </c>
      <c r="L120" s="44"/>
    </row>
    <row r="121" spans="2:12" s="46" customFormat="1" ht="14.25" customHeight="1">
      <c r="B121" s="38"/>
      <c r="C121" s="44"/>
      <c r="D121" s="137"/>
      <c r="E121" s="137"/>
      <c r="F121" s="137"/>
      <c r="G121" s="327"/>
      <c r="H121" s="263"/>
      <c r="I121" s="45"/>
      <c r="J121" s="149" t="str">
        <f t="shared" si="2"/>
        <v/>
      </c>
      <c r="K121" s="151" t="str">
        <f t="shared" si="3"/>
        <v/>
      </c>
      <c r="L121" s="44"/>
    </row>
    <row r="122" spans="2:12" s="46" customFormat="1" ht="14.25" customHeight="1">
      <c r="B122" s="38"/>
      <c r="C122" s="44"/>
      <c r="D122" s="137"/>
      <c r="E122" s="137"/>
      <c r="F122" s="137"/>
      <c r="G122" s="327"/>
      <c r="H122" s="263"/>
      <c r="I122" s="45"/>
      <c r="J122" s="149" t="str">
        <f t="shared" si="2"/>
        <v/>
      </c>
      <c r="K122" s="151" t="str">
        <f t="shared" si="3"/>
        <v/>
      </c>
      <c r="L122" s="44"/>
    </row>
    <row r="123" spans="2:12" s="46" customFormat="1" ht="14.25" customHeight="1">
      <c r="B123" s="38"/>
      <c r="C123" s="44"/>
      <c r="D123" s="137"/>
      <c r="E123" s="137"/>
      <c r="F123" s="137"/>
      <c r="G123" s="327"/>
      <c r="H123" s="263"/>
      <c r="I123" s="45"/>
      <c r="J123" s="149" t="str">
        <f t="shared" si="2"/>
        <v/>
      </c>
      <c r="K123" s="151" t="str">
        <f t="shared" si="3"/>
        <v/>
      </c>
      <c r="L123" s="44"/>
    </row>
    <row r="124" spans="2:12" s="46" customFormat="1" ht="14.25" customHeight="1">
      <c r="B124" s="38"/>
      <c r="C124" s="44"/>
      <c r="D124" s="137"/>
      <c r="E124" s="137"/>
      <c r="F124" s="137"/>
      <c r="G124" s="327"/>
      <c r="H124" s="263"/>
      <c r="I124" s="45"/>
      <c r="J124" s="149" t="str">
        <f t="shared" si="2"/>
        <v/>
      </c>
      <c r="K124" s="151" t="str">
        <f t="shared" si="3"/>
        <v/>
      </c>
      <c r="L124" s="44"/>
    </row>
    <row r="125" spans="2:12" s="46" customFormat="1" ht="14.25" customHeight="1">
      <c r="B125" s="38"/>
      <c r="C125" s="44"/>
      <c r="D125" s="137"/>
      <c r="E125" s="137"/>
      <c r="F125" s="137"/>
      <c r="G125" s="327"/>
      <c r="H125" s="263"/>
      <c r="I125" s="45"/>
      <c r="J125" s="149" t="str">
        <f t="shared" si="2"/>
        <v/>
      </c>
      <c r="K125" s="151" t="str">
        <f t="shared" si="3"/>
        <v/>
      </c>
      <c r="L125" s="44"/>
    </row>
    <row r="126" spans="2:12" s="46" customFormat="1" ht="14.25" customHeight="1">
      <c r="B126" s="38"/>
      <c r="C126" s="44"/>
      <c r="D126" s="137"/>
      <c r="E126" s="137"/>
      <c r="F126" s="137"/>
      <c r="G126" s="327"/>
      <c r="H126" s="263"/>
      <c r="I126" s="45"/>
      <c r="J126" s="149" t="str">
        <f t="shared" si="2"/>
        <v/>
      </c>
      <c r="K126" s="151" t="str">
        <f t="shared" si="3"/>
        <v/>
      </c>
      <c r="L126" s="44"/>
    </row>
    <row r="127" spans="2:12" s="46" customFormat="1" ht="14.25" customHeight="1">
      <c r="B127" s="38"/>
      <c r="C127" s="44"/>
      <c r="D127" s="137"/>
      <c r="E127" s="137"/>
      <c r="F127" s="137"/>
      <c r="G127" s="327"/>
      <c r="H127" s="263"/>
      <c r="I127" s="47"/>
      <c r="J127" s="149" t="str">
        <f t="shared" si="2"/>
        <v/>
      </c>
      <c r="K127" s="151" t="str">
        <f t="shared" si="3"/>
        <v/>
      </c>
      <c r="L127" s="44"/>
    </row>
    <row r="128" spans="2:12" s="46" customFormat="1" ht="14.25" customHeight="1">
      <c r="B128" s="38"/>
      <c r="C128" s="44"/>
      <c r="D128" s="137"/>
      <c r="E128" s="137"/>
      <c r="F128" s="137"/>
      <c r="G128" s="327"/>
      <c r="H128" s="263"/>
      <c r="I128" s="47"/>
      <c r="J128" s="149" t="str">
        <f t="shared" si="2"/>
        <v/>
      </c>
      <c r="K128" s="151" t="str">
        <f t="shared" si="3"/>
        <v/>
      </c>
      <c r="L128" s="44"/>
    </row>
    <row r="129" spans="2:12" s="46" customFormat="1" ht="14.25" customHeight="1">
      <c r="B129" s="38"/>
      <c r="C129" s="44"/>
      <c r="D129" s="137"/>
      <c r="E129" s="137"/>
      <c r="F129" s="137"/>
      <c r="G129" s="327"/>
      <c r="H129" s="263"/>
      <c r="I129" s="45"/>
      <c r="J129" s="149" t="str">
        <f t="shared" si="2"/>
        <v/>
      </c>
      <c r="K129" s="151" t="str">
        <f t="shared" si="3"/>
        <v/>
      </c>
      <c r="L129" s="44"/>
    </row>
    <row r="130" spans="2:12" s="46" customFormat="1" ht="14.25" customHeight="1">
      <c r="B130" s="38"/>
      <c r="C130" s="44"/>
      <c r="D130" s="137"/>
      <c r="E130" s="137"/>
      <c r="F130" s="137"/>
      <c r="G130" s="327"/>
      <c r="H130" s="263"/>
      <c r="I130" s="45"/>
      <c r="J130" s="149" t="str">
        <f t="shared" si="2"/>
        <v/>
      </c>
      <c r="K130" s="151" t="str">
        <f t="shared" si="3"/>
        <v/>
      </c>
      <c r="L130" s="44"/>
    </row>
    <row r="131" spans="2:12" s="46" customFormat="1" ht="14.25" customHeight="1">
      <c r="B131" s="38"/>
      <c r="C131" s="44"/>
      <c r="D131" s="137"/>
      <c r="E131" s="137"/>
      <c r="F131" s="137"/>
      <c r="G131" s="327"/>
      <c r="H131" s="263"/>
      <c r="I131" s="45"/>
      <c r="J131" s="149" t="str">
        <f t="shared" si="2"/>
        <v/>
      </c>
      <c r="K131" s="151" t="str">
        <f t="shared" si="3"/>
        <v/>
      </c>
      <c r="L131" s="44"/>
    </row>
    <row r="132" spans="2:12" s="46" customFormat="1" ht="14.25" customHeight="1">
      <c r="B132" s="38"/>
      <c r="C132" s="44"/>
      <c r="D132" s="137"/>
      <c r="E132" s="137"/>
      <c r="F132" s="137"/>
      <c r="G132" s="327"/>
      <c r="H132" s="263"/>
      <c r="I132" s="45"/>
      <c r="J132" s="149" t="str">
        <f t="shared" si="2"/>
        <v/>
      </c>
      <c r="K132" s="151" t="str">
        <f t="shared" si="3"/>
        <v/>
      </c>
      <c r="L132" s="44"/>
    </row>
    <row r="133" spans="2:12" s="46" customFormat="1" ht="14.25" customHeight="1">
      <c r="B133" s="38"/>
      <c r="C133" s="44"/>
      <c r="D133" s="137"/>
      <c r="E133" s="137"/>
      <c r="F133" s="137"/>
      <c r="G133" s="327"/>
      <c r="H133" s="263"/>
      <c r="I133" s="45"/>
      <c r="J133" s="149" t="str">
        <f t="shared" si="2"/>
        <v/>
      </c>
      <c r="K133" s="151" t="str">
        <f t="shared" si="3"/>
        <v/>
      </c>
      <c r="L133" s="44"/>
    </row>
    <row r="134" spans="2:12" s="46" customFormat="1" ht="14.25" customHeight="1">
      <c r="B134" s="38"/>
      <c r="C134" s="44"/>
      <c r="D134" s="137"/>
      <c r="E134" s="137"/>
      <c r="F134" s="137"/>
      <c r="G134" s="327"/>
      <c r="H134" s="263"/>
      <c r="I134" s="45"/>
      <c r="J134" s="149" t="str">
        <f t="shared" si="2"/>
        <v/>
      </c>
      <c r="K134" s="151" t="str">
        <f t="shared" si="3"/>
        <v/>
      </c>
      <c r="L134" s="44"/>
    </row>
    <row r="135" spans="2:12" s="46" customFormat="1" ht="14.25" customHeight="1">
      <c r="B135" s="38"/>
      <c r="C135" s="44"/>
      <c r="D135" s="137"/>
      <c r="E135" s="137"/>
      <c r="F135" s="137"/>
      <c r="G135" s="327"/>
      <c r="H135" s="263"/>
      <c r="I135" s="45"/>
      <c r="J135" s="149" t="str">
        <f t="shared" si="2"/>
        <v/>
      </c>
      <c r="K135" s="151" t="str">
        <f t="shared" si="3"/>
        <v/>
      </c>
      <c r="L135" s="44"/>
    </row>
    <row r="136" spans="2:12" s="46" customFormat="1" ht="14.25" customHeight="1">
      <c r="B136" s="38"/>
      <c r="C136" s="44"/>
      <c r="D136" s="137"/>
      <c r="E136" s="137"/>
      <c r="F136" s="137"/>
      <c r="G136" s="327"/>
      <c r="H136" s="263"/>
      <c r="I136" s="45"/>
      <c r="J136" s="149" t="str">
        <f t="shared" si="2"/>
        <v/>
      </c>
      <c r="K136" s="151" t="str">
        <f t="shared" si="3"/>
        <v/>
      </c>
      <c r="L136" s="44"/>
    </row>
    <row r="137" spans="2:12" s="46" customFormat="1" ht="14.25" customHeight="1">
      <c r="B137" s="38"/>
      <c r="C137" s="44"/>
      <c r="D137" s="137"/>
      <c r="E137" s="137"/>
      <c r="F137" s="137"/>
      <c r="G137" s="327"/>
      <c r="H137" s="263"/>
      <c r="I137" s="45"/>
      <c r="J137" s="149" t="str">
        <f t="shared" si="2"/>
        <v/>
      </c>
      <c r="K137" s="151" t="str">
        <f t="shared" si="3"/>
        <v/>
      </c>
      <c r="L137" s="44"/>
    </row>
    <row r="138" spans="2:12" s="46" customFormat="1" ht="14.25" customHeight="1">
      <c r="B138" s="38"/>
      <c r="C138" s="44"/>
      <c r="D138" s="137"/>
      <c r="E138" s="137"/>
      <c r="F138" s="137"/>
      <c r="G138" s="327"/>
      <c r="H138" s="263"/>
      <c r="I138" s="45"/>
      <c r="J138" s="149" t="str">
        <f t="shared" si="2"/>
        <v/>
      </c>
      <c r="K138" s="151" t="str">
        <f t="shared" si="3"/>
        <v/>
      </c>
      <c r="L138" s="44"/>
    </row>
    <row r="139" spans="2:12" s="46" customFormat="1" ht="14.25" customHeight="1">
      <c r="B139" s="38"/>
      <c r="C139" s="44"/>
      <c r="D139" s="137"/>
      <c r="E139" s="137"/>
      <c r="F139" s="137"/>
      <c r="G139" s="327"/>
      <c r="H139" s="263"/>
      <c r="I139" s="45"/>
      <c r="J139" s="149" t="str">
        <f t="shared" ref="J139:J202" si="4">IF($C139&lt;&gt;"",$E139*1.5,"")</f>
        <v/>
      </c>
      <c r="K139" s="151" t="str">
        <f t="shared" ref="K139:K202" si="5">IFERROR($J139/10,"")</f>
        <v/>
      </c>
      <c r="L139" s="44"/>
    </row>
    <row r="140" spans="2:12" s="46" customFormat="1" ht="14.25" customHeight="1">
      <c r="B140" s="38"/>
      <c r="C140" s="44"/>
      <c r="D140" s="137"/>
      <c r="E140" s="137"/>
      <c r="F140" s="137"/>
      <c r="G140" s="327"/>
      <c r="H140" s="263"/>
      <c r="I140" s="45"/>
      <c r="J140" s="149" t="str">
        <f t="shared" si="4"/>
        <v/>
      </c>
      <c r="K140" s="151" t="str">
        <f t="shared" si="5"/>
        <v/>
      </c>
      <c r="L140" s="44"/>
    </row>
    <row r="141" spans="2:12" s="46" customFormat="1" ht="14.25" customHeight="1">
      <c r="B141" s="38"/>
      <c r="C141" s="44"/>
      <c r="D141" s="137"/>
      <c r="E141" s="137"/>
      <c r="F141" s="137"/>
      <c r="G141" s="327"/>
      <c r="H141" s="263"/>
      <c r="I141" s="45"/>
      <c r="J141" s="149" t="str">
        <f t="shared" si="4"/>
        <v/>
      </c>
      <c r="K141" s="151" t="str">
        <f t="shared" si="5"/>
        <v/>
      </c>
      <c r="L141" s="44"/>
    </row>
    <row r="142" spans="2:12" s="46" customFormat="1" ht="14.25" customHeight="1">
      <c r="B142" s="38"/>
      <c r="C142" s="44"/>
      <c r="D142" s="137"/>
      <c r="E142" s="137"/>
      <c r="F142" s="137"/>
      <c r="G142" s="327"/>
      <c r="H142" s="263"/>
      <c r="I142" s="45"/>
      <c r="J142" s="149" t="str">
        <f t="shared" si="4"/>
        <v/>
      </c>
      <c r="K142" s="151" t="str">
        <f t="shared" si="5"/>
        <v/>
      </c>
      <c r="L142" s="44"/>
    </row>
    <row r="143" spans="2:12" s="46" customFormat="1" ht="14.25" customHeight="1">
      <c r="B143" s="38"/>
      <c r="C143" s="44"/>
      <c r="D143" s="137"/>
      <c r="E143" s="137"/>
      <c r="F143" s="137"/>
      <c r="G143" s="327"/>
      <c r="H143" s="263"/>
      <c r="I143" s="45"/>
      <c r="J143" s="149" t="str">
        <f t="shared" si="4"/>
        <v/>
      </c>
      <c r="K143" s="151" t="str">
        <f t="shared" si="5"/>
        <v/>
      </c>
      <c r="L143" s="44"/>
    </row>
    <row r="144" spans="2:12" s="46" customFormat="1" ht="14.25" customHeight="1">
      <c r="B144" s="38"/>
      <c r="C144" s="44"/>
      <c r="D144" s="137"/>
      <c r="E144" s="137"/>
      <c r="F144" s="137"/>
      <c r="G144" s="327"/>
      <c r="H144" s="263"/>
      <c r="I144" s="45"/>
      <c r="J144" s="149" t="str">
        <f t="shared" si="4"/>
        <v/>
      </c>
      <c r="K144" s="151" t="str">
        <f t="shared" si="5"/>
        <v/>
      </c>
      <c r="L144" s="44"/>
    </row>
    <row r="145" spans="2:12" s="46" customFormat="1" ht="14.25" customHeight="1">
      <c r="B145" s="38"/>
      <c r="C145" s="44"/>
      <c r="D145" s="137"/>
      <c r="E145" s="137"/>
      <c r="F145" s="137"/>
      <c r="G145" s="327"/>
      <c r="H145" s="263"/>
      <c r="I145" s="45"/>
      <c r="J145" s="149" t="str">
        <f t="shared" si="4"/>
        <v/>
      </c>
      <c r="K145" s="151" t="str">
        <f t="shared" si="5"/>
        <v/>
      </c>
      <c r="L145" s="44"/>
    </row>
    <row r="146" spans="2:12" s="46" customFormat="1" ht="14.25" customHeight="1">
      <c r="B146" s="38"/>
      <c r="C146" s="44"/>
      <c r="D146" s="137"/>
      <c r="E146" s="137"/>
      <c r="F146" s="137"/>
      <c r="G146" s="327"/>
      <c r="H146" s="263"/>
      <c r="I146" s="45"/>
      <c r="J146" s="149" t="str">
        <f t="shared" si="4"/>
        <v/>
      </c>
      <c r="K146" s="151" t="str">
        <f t="shared" si="5"/>
        <v/>
      </c>
      <c r="L146" s="44"/>
    </row>
    <row r="147" spans="2:12" s="46" customFormat="1" ht="14.25" customHeight="1">
      <c r="B147" s="38"/>
      <c r="C147" s="44"/>
      <c r="D147" s="137"/>
      <c r="E147" s="137"/>
      <c r="F147" s="137"/>
      <c r="G147" s="327"/>
      <c r="H147" s="263"/>
      <c r="I147" s="45"/>
      <c r="J147" s="149" t="str">
        <f t="shared" si="4"/>
        <v/>
      </c>
      <c r="K147" s="151" t="str">
        <f t="shared" si="5"/>
        <v/>
      </c>
      <c r="L147" s="44"/>
    </row>
    <row r="148" spans="2:12" s="46" customFormat="1" ht="14.25" customHeight="1">
      <c r="B148" s="38"/>
      <c r="C148" s="44"/>
      <c r="D148" s="137"/>
      <c r="E148" s="137"/>
      <c r="F148" s="137"/>
      <c r="G148" s="327"/>
      <c r="H148" s="263"/>
      <c r="I148" s="45"/>
      <c r="J148" s="149" t="str">
        <f t="shared" si="4"/>
        <v/>
      </c>
      <c r="K148" s="151" t="str">
        <f t="shared" si="5"/>
        <v/>
      </c>
      <c r="L148" s="44"/>
    </row>
    <row r="149" spans="2:12" s="46" customFormat="1" ht="14.25" customHeight="1">
      <c r="B149" s="38"/>
      <c r="C149" s="44"/>
      <c r="D149" s="137"/>
      <c r="E149" s="137"/>
      <c r="F149" s="137"/>
      <c r="G149" s="327"/>
      <c r="H149" s="263"/>
      <c r="I149" s="45"/>
      <c r="J149" s="149" t="str">
        <f t="shared" si="4"/>
        <v/>
      </c>
      <c r="K149" s="151" t="str">
        <f t="shared" si="5"/>
        <v/>
      </c>
      <c r="L149" s="44"/>
    </row>
    <row r="150" spans="2:12" s="46" customFormat="1" ht="14.25" customHeight="1">
      <c r="B150" s="38"/>
      <c r="C150" s="44"/>
      <c r="D150" s="137"/>
      <c r="E150" s="137"/>
      <c r="F150" s="137"/>
      <c r="G150" s="327"/>
      <c r="H150" s="263"/>
      <c r="I150" s="45"/>
      <c r="J150" s="149" t="str">
        <f t="shared" si="4"/>
        <v/>
      </c>
      <c r="K150" s="151" t="str">
        <f t="shared" si="5"/>
        <v/>
      </c>
      <c r="L150" s="44"/>
    </row>
    <row r="151" spans="2:12" s="46" customFormat="1" ht="14.25" customHeight="1">
      <c r="B151" s="38"/>
      <c r="C151" s="44"/>
      <c r="D151" s="137"/>
      <c r="E151" s="137"/>
      <c r="F151" s="137"/>
      <c r="G151" s="327"/>
      <c r="H151" s="263"/>
      <c r="I151" s="45"/>
      <c r="J151" s="149" t="str">
        <f t="shared" si="4"/>
        <v/>
      </c>
      <c r="K151" s="151" t="str">
        <f t="shared" si="5"/>
        <v/>
      </c>
      <c r="L151" s="44"/>
    </row>
    <row r="152" spans="2:12" s="46" customFormat="1" ht="14.25" customHeight="1">
      <c r="B152" s="38"/>
      <c r="C152" s="44"/>
      <c r="D152" s="137"/>
      <c r="E152" s="137"/>
      <c r="F152" s="137"/>
      <c r="G152" s="327"/>
      <c r="H152" s="263"/>
      <c r="I152" s="45"/>
      <c r="J152" s="149" t="str">
        <f t="shared" si="4"/>
        <v/>
      </c>
      <c r="K152" s="151" t="str">
        <f t="shared" si="5"/>
        <v/>
      </c>
      <c r="L152" s="44"/>
    </row>
    <row r="153" spans="2:12" s="46" customFormat="1" ht="14.25" customHeight="1">
      <c r="B153" s="38"/>
      <c r="C153" s="44"/>
      <c r="D153" s="137"/>
      <c r="E153" s="137"/>
      <c r="F153" s="137"/>
      <c r="G153" s="327"/>
      <c r="H153" s="263"/>
      <c r="I153" s="45"/>
      <c r="J153" s="149" t="str">
        <f t="shared" si="4"/>
        <v/>
      </c>
      <c r="K153" s="151" t="str">
        <f t="shared" si="5"/>
        <v/>
      </c>
      <c r="L153" s="44"/>
    </row>
    <row r="154" spans="2:12" s="46" customFormat="1" ht="14.25" customHeight="1">
      <c r="B154" s="38"/>
      <c r="C154" s="44"/>
      <c r="D154" s="137"/>
      <c r="E154" s="137"/>
      <c r="F154" s="137"/>
      <c r="G154" s="327"/>
      <c r="H154" s="263"/>
      <c r="I154" s="45"/>
      <c r="J154" s="149" t="str">
        <f t="shared" si="4"/>
        <v/>
      </c>
      <c r="K154" s="151" t="str">
        <f t="shared" si="5"/>
        <v/>
      </c>
      <c r="L154" s="44"/>
    </row>
    <row r="155" spans="2:12" s="46" customFormat="1" ht="14.25" customHeight="1">
      <c r="B155" s="38"/>
      <c r="C155" s="44"/>
      <c r="D155" s="137"/>
      <c r="E155" s="137"/>
      <c r="F155" s="137"/>
      <c r="G155" s="327"/>
      <c r="H155" s="263"/>
      <c r="I155" s="45"/>
      <c r="J155" s="149" t="str">
        <f t="shared" si="4"/>
        <v/>
      </c>
      <c r="K155" s="151" t="str">
        <f t="shared" si="5"/>
        <v/>
      </c>
      <c r="L155" s="44"/>
    </row>
    <row r="156" spans="2:12" s="46" customFormat="1" ht="14.25" customHeight="1">
      <c r="B156" s="38"/>
      <c r="C156" s="44"/>
      <c r="D156" s="137"/>
      <c r="E156" s="137"/>
      <c r="F156" s="137"/>
      <c r="G156" s="327"/>
      <c r="H156" s="263"/>
      <c r="I156" s="45"/>
      <c r="J156" s="149" t="str">
        <f t="shared" si="4"/>
        <v/>
      </c>
      <c r="K156" s="151" t="str">
        <f t="shared" si="5"/>
        <v/>
      </c>
      <c r="L156" s="44"/>
    </row>
    <row r="157" spans="2:12" s="46" customFormat="1" ht="14.25" customHeight="1">
      <c r="B157" s="38"/>
      <c r="C157" s="44"/>
      <c r="D157" s="137"/>
      <c r="E157" s="137"/>
      <c r="F157" s="137"/>
      <c r="G157" s="327"/>
      <c r="H157" s="263"/>
      <c r="I157" s="45"/>
      <c r="J157" s="149" t="str">
        <f t="shared" si="4"/>
        <v/>
      </c>
      <c r="K157" s="151" t="str">
        <f t="shared" si="5"/>
        <v/>
      </c>
      <c r="L157" s="44"/>
    </row>
    <row r="158" spans="2:12" s="46" customFormat="1" ht="14.25" customHeight="1">
      <c r="B158" s="38"/>
      <c r="C158" s="44"/>
      <c r="D158" s="137"/>
      <c r="E158" s="137"/>
      <c r="F158" s="137"/>
      <c r="G158" s="327"/>
      <c r="H158" s="263"/>
      <c r="I158" s="45"/>
      <c r="J158" s="149" t="str">
        <f t="shared" si="4"/>
        <v/>
      </c>
      <c r="K158" s="151" t="str">
        <f t="shared" si="5"/>
        <v/>
      </c>
      <c r="L158" s="44"/>
    </row>
    <row r="159" spans="2:12" s="46" customFormat="1" ht="14.25" customHeight="1">
      <c r="B159" s="38"/>
      <c r="C159" s="44"/>
      <c r="D159" s="137"/>
      <c r="E159" s="137"/>
      <c r="F159" s="137"/>
      <c r="G159" s="327"/>
      <c r="H159" s="263"/>
      <c r="I159" s="45"/>
      <c r="J159" s="149" t="str">
        <f t="shared" si="4"/>
        <v/>
      </c>
      <c r="K159" s="151" t="str">
        <f t="shared" si="5"/>
        <v/>
      </c>
      <c r="L159" s="44"/>
    </row>
    <row r="160" spans="2:12" s="46" customFormat="1" ht="14.25" customHeight="1">
      <c r="B160" s="38"/>
      <c r="C160" s="44"/>
      <c r="D160" s="137"/>
      <c r="E160" s="137"/>
      <c r="F160" s="137"/>
      <c r="G160" s="327"/>
      <c r="H160" s="263"/>
      <c r="I160" s="45"/>
      <c r="J160" s="149" t="str">
        <f t="shared" si="4"/>
        <v/>
      </c>
      <c r="K160" s="151" t="str">
        <f t="shared" si="5"/>
        <v/>
      </c>
      <c r="L160" s="44"/>
    </row>
    <row r="161" spans="2:12" s="46" customFormat="1" ht="14.25" customHeight="1">
      <c r="B161" s="38"/>
      <c r="C161" s="44"/>
      <c r="D161" s="137"/>
      <c r="E161" s="137"/>
      <c r="F161" s="137"/>
      <c r="G161" s="327"/>
      <c r="H161" s="263"/>
      <c r="I161" s="45"/>
      <c r="J161" s="149" t="str">
        <f t="shared" si="4"/>
        <v/>
      </c>
      <c r="K161" s="151" t="str">
        <f t="shared" si="5"/>
        <v/>
      </c>
      <c r="L161" s="44"/>
    </row>
    <row r="162" spans="2:12" s="46" customFormat="1" ht="14.25" customHeight="1">
      <c r="B162" s="38"/>
      <c r="C162" s="44"/>
      <c r="D162" s="137"/>
      <c r="E162" s="137"/>
      <c r="F162" s="137"/>
      <c r="G162" s="327"/>
      <c r="H162" s="263"/>
      <c r="I162" s="45"/>
      <c r="J162" s="149" t="str">
        <f t="shared" si="4"/>
        <v/>
      </c>
      <c r="K162" s="151" t="str">
        <f t="shared" si="5"/>
        <v/>
      </c>
      <c r="L162" s="44"/>
    </row>
    <row r="163" spans="2:12" s="46" customFormat="1" ht="14.25" customHeight="1">
      <c r="B163" s="38"/>
      <c r="C163" s="44"/>
      <c r="D163" s="137"/>
      <c r="E163" s="137"/>
      <c r="F163" s="137"/>
      <c r="G163" s="327"/>
      <c r="H163" s="263"/>
      <c r="I163" s="45"/>
      <c r="J163" s="149" t="str">
        <f t="shared" si="4"/>
        <v/>
      </c>
      <c r="K163" s="151" t="str">
        <f t="shared" si="5"/>
        <v/>
      </c>
      <c r="L163" s="44"/>
    </row>
    <row r="164" spans="2:12" s="46" customFormat="1" ht="14.25" customHeight="1">
      <c r="B164" s="38"/>
      <c r="C164" s="44"/>
      <c r="D164" s="137"/>
      <c r="E164" s="137"/>
      <c r="F164" s="137"/>
      <c r="G164" s="327"/>
      <c r="H164" s="263"/>
      <c r="I164" s="45"/>
      <c r="J164" s="149" t="str">
        <f t="shared" si="4"/>
        <v/>
      </c>
      <c r="K164" s="151" t="str">
        <f t="shared" si="5"/>
        <v/>
      </c>
      <c r="L164" s="44"/>
    </row>
    <row r="165" spans="2:12" s="46" customFormat="1" ht="14.25" customHeight="1">
      <c r="B165" s="38"/>
      <c r="C165" s="44"/>
      <c r="D165" s="137"/>
      <c r="E165" s="137"/>
      <c r="F165" s="137"/>
      <c r="G165" s="327"/>
      <c r="H165" s="263"/>
      <c r="I165" s="45"/>
      <c r="J165" s="149" t="str">
        <f t="shared" si="4"/>
        <v/>
      </c>
      <c r="K165" s="151" t="str">
        <f t="shared" si="5"/>
        <v/>
      </c>
      <c r="L165" s="44"/>
    </row>
    <row r="166" spans="2:12" s="46" customFormat="1" ht="14.25" customHeight="1">
      <c r="B166" s="38"/>
      <c r="C166" s="44"/>
      <c r="D166" s="137"/>
      <c r="E166" s="137"/>
      <c r="F166" s="137"/>
      <c r="G166" s="327"/>
      <c r="H166" s="263"/>
      <c r="I166" s="45"/>
      <c r="J166" s="149" t="str">
        <f t="shared" si="4"/>
        <v/>
      </c>
      <c r="K166" s="151" t="str">
        <f t="shared" si="5"/>
        <v/>
      </c>
      <c r="L166" s="44"/>
    </row>
    <row r="167" spans="2:12" s="46" customFormat="1" ht="14.25" customHeight="1">
      <c r="B167" s="38"/>
      <c r="C167" s="44"/>
      <c r="D167" s="137"/>
      <c r="E167" s="137"/>
      <c r="F167" s="137"/>
      <c r="G167" s="327"/>
      <c r="H167" s="263"/>
      <c r="I167" s="45"/>
      <c r="J167" s="149" t="str">
        <f t="shared" si="4"/>
        <v/>
      </c>
      <c r="K167" s="151" t="str">
        <f t="shared" si="5"/>
        <v/>
      </c>
      <c r="L167" s="44"/>
    </row>
    <row r="168" spans="2:12" s="46" customFormat="1" ht="14.25" customHeight="1">
      <c r="B168" s="38"/>
      <c r="C168" s="44"/>
      <c r="D168" s="137"/>
      <c r="E168" s="137"/>
      <c r="F168" s="137"/>
      <c r="G168" s="327"/>
      <c r="H168" s="263"/>
      <c r="I168" s="45"/>
      <c r="J168" s="149" t="str">
        <f t="shared" si="4"/>
        <v/>
      </c>
      <c r="K168" s="151" t="str">
        <f t="shared" si="5"/>
        <v/>
      </c>
      <c r="L168" s="44"/>
    </row>
    <row r="169" spans="2:12" s="46" customFormat="1" ht="14.25" customHeight="1">
      <c r="B169" s="38"/>
      <c r="C169" s="44"/>
      <c r="D169" s="137"/>
      <c r="E169" s="137"/>
      <c r="F169" s="137"/>
      <c r="G169" s="327"/>
      <c r="H169" s="263"/>
      <c r="I169" s="45"/>
      <c r="J169" s="149" t="str">
        <f t="shared" si="4"/>
        <v/>
      </c>
      <c r="K169" s="151" t="str">
        <f t="shared" si="5"/>
        <v/>
      </c>
      <c r="L169" s="44"/>
    </row>
    <row r="170" spans="2:12" s="46" customFormat="1" ht="14.25" customHeight="1">
      <c r="B170" s="38"/>
      <c r="C170" s="44"/>
      <c r="D170" s="137"/>
      <c r="E170" s="137"/>
      <c r="F170" s="137"/>
      <c r="G170" s="327"/>
      <c r="H170" s="263"/>
      <c r="I170" s="45"/>
      <c r="J170" s="149" t="str">
        <f t="shared" si="4"/>
        <v/>
      </c>
      <c r="K170" s="151" t="str">
        <f t="shared" si="5"/>
        <v/>
      </c>
      <c r="L170" s="44"/>
    </row>
    <row r="171" spans="2:12" s="46" customFormat="1" ht="14.25" customHeight="1">
      <c r="B171" s="38"/>
      <c r="C171" s="44"/>
      <c r="D171" s="137"/>
      <c r="E171" s="137"/>
      <c r="F171" s="137"/>
      <c r="G171" s="327"/>
      <c r="H171" s="263"/>
      <c r="I171" s="45"/>
      <c r="J171" s="149" t="str">
        <f t="shared" si="4"/>
        <v/>
      </c>
      <c r="K171" s="151" t="str">
        <f t="shared" si="5"/>
        <v/>
      </c>
      <c r="L171" s="44"/>
    </row>
    <row r="172" spans="2:12" s="46" customFormat="1" ht="14.25" customHeight="1">
      <c r="B172" s="38"/>
      <c r="C172" s="44"/>
      <c r="D172" s="137"/>
      <c r="E172" s="137"/>
      <c r="F172" s="137"/>
      <c r="G172" s="327"/>
      <c r="H172" s="263"/>
      <c r="I172" s="45"/>
      <c r="J172" s="149" t="str">
        <f t="shared" si="4"/>
        <v/>
      </c>
      <c r="K172" s="151" t="str">
        <f t="shared" si="5"/>
        <v/>
      </c>
      <c r="L172" s="44"/>
    </row>
    <row r="173" spans="2:12" s="46" customFormat="1" ht="14.25" customHeight="1">
      <c r="B173" s="38"/>
      <c r="C173" s="44"/>
      <c r="D173" s="137"/>
      <c r="E173" s="137"/>
      <c r="F173" s="137"/>
      <c r="G173" s="327"/>
      <c r="H173" s="263"/>
      <c r="I173" s="45"/>
      <c r="J173" s="149" t="str">
        <f t="shared" si="4"/>
        <v/>
      </c>
      <c r="K173" s="151" t="str">
        <f t="shared" si="5"/>
        <v/>
      </c>
      <c r="L173" s="44"/>
    </row>
    <row r="174" spans="2:12" s="46" customFormat="1" ht="14.25" customHeight="1">
      <c r="B174" s="38"/>
      <c r="C174" s="44"/>
      <c r="D174" s="137"/>
      <c r="E174" s="137"/>
      <c r="F174" s="137"/>
      <c r="G174" s="327"/>
      <c r="H174" s="263"/>
      <c r="I174" s="45"/>
      <c r="J174" s="149" t="str">
        <f t="shared" si="4"/>
        <v/>
      </c>
      <c r="K174" s="151" t="str">
        <f t="shared" si="5"/>
        <v/>
      </c>
      <c r="L174" s="44"/>
    </row>
    <row r="175" spans="2:12" s="46" customFormat="1" ht="14.25" customHeight="1">
      <c r="B175" s="38"/>
      <c r="C175" s="44"/>
      <c r="D175" s="137"/>
      <c r="E175" s="137"/>
      <c r="F175" s="137"/>
      <c r="G175" s="327"/>
      <c r="H175" s="263"/>
      <c r="I175" s="45"/>
      <c r="J175" s="149" t="str">
        <f t="shared" si="4"/>
        <v/>
      </c>
      <c r="K175" s="151" t="str">
        <f t="shared" si="5"/>
        <v/>
      </c>
      <c r="L175" s="44"/>
    </row>
    <row r="176" spans="2:12" s="46" customFormat="1" ht="14.25" customHeight="1">
      <c r="B176" s="38"/>
      <c r="C176" s="44"/>
      <c r="D176" s="137"/>
      <c r="E176" s="137"/>
      <c r="F176" s="137"/>
      <c r="G176" s="327"/>
      <c r="H176" s="263"/>
      <c r="I176" s="45"/>
      <c r="J176" s="149" t="str">
        <f t="shared" si="4"/>
        <v/>
      </c>
      <c r="K176" s="151" t="str">
        <f t="shared" si="5"/>
        <v/>
      </c>
      <c r="L176" s="44"/>
    </row>
    <row r="177" spans="2:12" s="46" customFormat="1" ht="14.25" customHeight="1">
      <c r="B177" s="38"/>
      <c r="C177" s="44"/>
      <c r="D177" s="137"/>
      <c r="E177" s="137"/>
      <c r="F177" s="137"/>
      <c r="G177" s="327"/>
      <c r="H177" s="263"/>
      <c r="I177" s="45"/>
      <c r="J177" s="149" t="str">
        <f t="shared" si="4"/>
        <v/>
      </c>
      <c r="K177" s="151" t="str">
        <f t="shared" si="5"/>
        <v/>
      </c>
      <c r="L177" s="44"/>
    </row>
    <row r="178" spans="2:12" s="46" customFormat="1" ht="14.25" customHeight="1">
      <c r="B178" s="38"/>
      <c r="C178" s="44"/>
      <c r="D178" s="137"/>
      <c r="E178" s="137"/>
      <c r="F178" s="137"/>
      <c r="G178" s="327"/>
      <c r="H178" s="263"/>
      <c r="I178" s="45"/>
      <c r="J178" s="149" t="str">
        <f t="shared" si="4"/>
        <v/>
      </c>
      <c r="K178" s="151" t="str">
        <f t="shared" si="5"/>
        <v/>
      </c>
      <c r="L178" s="44"/>
    </row>
    <row r="179" spans="2:12" s="46" customFormat="1" ht="14.25" customHeight="1">
      <c r="B179" s="38"/>
      <c r="C179" s="44"/>
      <c r="D179" s="137"/>
      <c r="E179" s="137"/>
      <c r="F179" s="137"/>
      <c r="G179" s="327"/>
      <c r="H179" s="263"/>
      <c r="I179" s="45"/>
      <c r="J179" s="149" t="str">
        <f t="shared" si="4"/>
        <v/>
      </c>
      <c r="K179" s="151" t="str">
        <f t="shared" si="5"/>
        <v/>
      </c>
      <c r="L179" s="44"/>
    </row>
    <row r="180" spans="2:12" s="46" customFormat="1" ht="14.25" customHeight="1">
      <c r="B180" s="38"/>
      <c r="C180" s="44"/>
      <c r="D180" s="137"/>
      <c r="E180" s="137"/>
      <c r="F180" s="137"/>
      <c r="G180" s="327"/>
      <c r="H180" s="263"/>
      <c r="I180" s="45"/>
      <c r="J180" s="149" t="str">
        <f t="shared" si="4"/>
        <v/>
      </c>
      <c r="K180" s="151" t="str">
        <f t="shared" si="5"/>
        <v/>
      </c>
      <c r="L180" s="44"/>
    </row>
    <row r="181" spans="2:12" s="46" customFormat="1" ht="14.25" customHeight="1">
      <c r="B181" s="38"/>
      <c r="C181" s="44"/>
      <c r="D181" s="137"/>
      <c r="E181" s="137"/>
      <c r="F181" s="137"/>
      <c r="G181" s="327"/>
      <c r="H181" s="263"/>
      <c r="I181" s="45"/>
      <c r="J181" s="149" t="str">
        <f t="shared" si="4"/>
        <v/>
      </c>
      <c r="K181" s="151" t="str">
        <f t="shared" si="5"/>
        <v/>
      </c>
      <c r="L181" s="44"/>
    </row>
    <row r="182" spans="2:12" s="46" customFormat="1" ht="14.25" customHeight="1">
      <c r="B182" s="38"/>
      <c r="C182" s="44"/>
      <c r="D182" s="137"/>
      <c r="E182" s="137"/>
      <c r="F182" s="137"/>
      <c r="G182" s="327"/>
      <c r="H182" s="263"/>
      <c r="I182" s="45"/>
      <c r="J182" s="149" t="str">
        <f t="shared" si="4"/>
        <v/>
      </c>
      <c r="K182" s="151" t="str">
        <f t="shared" si="5"/>
        <v/>
      </c>
      <c r="L182" s="44"/>
    </row>
    <row r="183" spans="2:12" s="46" customFormat="1" ht="14.25" customHeight="1">
      <c r="B183" s="38"/>
      <c r="C183" s="44"/>
      <c r="D183" s="137"/>
      <c r="E183" s="137"/>
      <c r="F183" s="137"/>
      <c r="G183" s="327"/>
      <c r="H183" s="263"/>
      <c r="I183" s="45"/>
      <c r="J183" s="149" t="str">
        <f t="shared" si="4"/>
        <v/>
      </c>
      <c r="K183" s="151" t="str">
        <f t="shared" si="5"/>
        <v/>
      </c>
      <c r="L183" s="44"/>
    </row>
    <row r="184" spans="2:12" s="46" customFormat="1" ht="14.25" customHeight="1">
      <c r="B184" s="38"/>
      <c r="C184" s="44"/>
      <c r="D184" s="137"/>
      <c r="E184" s="137"/>
      <c r="F184" s="137"/>
      <c r="G184" s="327"/>
      <c r="H184" s="263"/>
      <c r="I184" s="45"/>
      <c r="J184" s="149" t="str">
        <f t="shared" si="4"/>
        <v/>
      </c>
      <c r="K184" s="151" t="str">
        <f t="shared" si="5"/>
        <v/>
      </c>
      <c r="L184" s="44"/>
    </row>
    <row r="185" spans="2:12" s="46" customFormat="1" ht="14.25" customHeight="1">
      <c r="B185" s="38"/>
      <c r="C185" s="44"/>
      <c r="D185" s="137"/>
      <c r="E185" s="137"/>
      <c r="F185" s="137"/>
      <c r="G185" s="327"/>
      <c r="H185" s="263"/>
      <c r="I185" s="45"/>
      <c r="J185" s="149" t="str">
        <f t="shared" si="4"/>
        <v/>
      </c>
      <c r="K185" s="151" t="str">
        <f t="shared" si="5"/>
        <v/>
      </c>
      <c r="L185" s="44"/>
    </row>
    <row r="186" spans="2:12" s="46" customFormat="1" ht="14.25" customHeight="1">
      <c r="B186" s="38"/>
      <c r="C186" s="44"/>
      <c r="D186" s="137"/>
      <c r="E186" s="137"/>
      <c r="F186" s="137"/>
      <c r="G186" s="327"/>
      <c r="H186" s="263"/>
      <c r="I186" s="45"/>
      <c r="J186" s="149" t="str">
        <f t="shared" si="4"/>
        <v/>
      </c>
      <c r="K186" s="151" t="str">
        <f t="shared" si="5"/>
        <v/>
      </c>
      <c r="L186" s="44"/>
    </row>
    <row r="187" spans="2:12" s="46" customFormat="1" ht="14.25" customHeight="1">
      <c r="B187" s="38"/>
      <c r="C187" s="44"/>
      <c r="D187" s="137"/>
      <c r="E187" s="137"/>
      <c r="F187" s="137"/>
      <c r="G187" s="327"/>
      <c r="H187" s="263"/>
      <c r="I187" s="45"/>
      <c r="J187" s="149" t="str">
        <f t="shared" si="4"/>
        <v/>
      </c>
      <c r="K187" s="151" t="str">
        <f t="shared" si="5"/>
        <v/>
      </c>
      <c r="L187" s="44"/>
    </row>
    <row r="188" spans="2:12" s="46" customFormat="1" ht="14.25" customHeight="1">
      <c r="B188" s="38"/>
      <c r="C188" s="44"/>
      <c r="D188" s="137"/>
      <c r="E188" s="137"/>
      <c r="F188" s="137"/>
      <c r="G188" s="327"/>
      <c r="H188" s="263"/>
      <c r="I188" s="45"/>
      <c r="J188" s="149" t="str">
        <f t="shared" si="4"/>
        <v/>
      </c>
      <c r="K188" s="151" t="str">
        <f t="shared" si="5"/>
        <v/>
      </c>
      <c r="L188" s="44"/>
    </row>
    <row r="189" spans="2:12" s="46" customFormat="1" ht="14.25" customHeight="1">
      <c r="B189" s="38"/>
      <c r="C189" s="44"/>
      <c r="D189" s="137"/>
      <c r="E189" s="137"/>
      <c r="F189" s="137"/>
      <c r="G189" s="327"/>
      <c r="H189" s="263"/>
      <c r="I189" s="45"/>
      <c r="J189" s="149" t="str">
        <f t="shared" si="4"/>
        <v/>
      </c>
      <c r="K189" s="151" t="str">
        <f t="shared" si="5"/>
        <v/>
      </c>
      <c r="L189" s="44"/>
    </row>
    <row r="190" spans="2:12" s="46" customFormat="1" ht="14.25" customHeight="1">
      <c r="B190" s="38"/>
      <c r="C190" s="44"/>
      <c r="D190" s="137"/>
      <c r="E190" s="137"/>
      <c r="F190" s="137"/>
      <c r="G190" s="327"/>
      <c r="H190" s="263"/>
      <c r="I190" s="45"/>
      <c r="J190" s="149" t="str">
        <f t="shared" si="4"/>
        <v/>
      </c>
      <c r="K190" s="151" t="str">
        <f t="shared" si="5"/>
        <v/>
      </c>
      <c r="L190" s="44"/>
    </row>
    <row r="191" spans="2:12" s="46" customFormat="1" ht="14.25" customHeight="1">
      <c r="B191" s="38"/>
      <c r="C191" s="44"/>
      <c r="D191" s="137"/>
      <c r="E191" s="137"/>
      <c r="F191" s="137"/>
      <c r="G191" s="327"/>
      <c r="H191" s="263"/>
      <c r="I191" s="45"/>
      <c r="J191" s="149" t="str">
        <f t="shared" si="4"/>
        <v/>
      </c>
      <c r="K191" s="151" t="str">
        <f t="shared" si="5"/>
        <v/>
      </c>
      <c r="L191" s="44"/>
    </row>
    <row r="192" spans="2:12" s="46" customFormat="1" ht="14.25" customHeight="1">
      <c r="B192" s="38"/>
      <c r="C192" s="44"/>
      <c r="D192" s="137"/>
      <c r="E192" s="137"/>
      <c r="F192" s="137"/>
      <c r="G192" s="327"/>
      <c r="H192" s="263"/>
      <c r="I192" s="45"/>
      <c r="J192" s="149" t="str">
        <f t="shared" si="4"/>
        <v/>
      </c>
      <c r="K192" s="151" t="str">
        <f t="shared" si="5"/>
        <v/>
      </c>
      <c r="L192" s="44"/>
    </row>
    <row r="193" spans="2:12" s="46" customFormat="1" ht="14.25" customHeight="1">
      <c r="B193" s="38"/>
      <c r="C193" s="44"/>
      <c r="D193" s="137"/>
      <c r="E193" s="137"/>
      <c r="F193" s="137"/>
      <c r="G193" s="327"/>
      <c r="H193" s="263"/>
      <c r="I193" s="45"/>
      <c r="J193" s="149" t="str">
        <f t="shared" si="4"/>
        <v/>
      </c>
      <c r="K193" s="151" t="str">
        <f t="shared" si="5"/>
        <v/>
      </c>
      <c r="L193" s="44"/>
    </row>
    <row r="194" spans="2:12" s="46" customFormat="1" ht="14.25" customHeight="1">
      <c r="B194" s="38"/>
      <c r="C194" s="44"/>
      <c r="D194" s="137"/>
      <c r="E194" s="137"/>
      <c r="F194" s="137"/>
      <c r="G194" s="327"/>
      <c r="H194" s="263"/>
      <c r="I194" s="45"/>
      <c r="J194" s="149" t="str">
        <f t="shared" si="4"/>
        <v/>
      </c>
      <c r="K194" s="151" t="str">
        <f t="shared" si="5"/>
        <v/>
      </c>
      <c r="L194" s="44"/>
    </row>
    <row r="195" spans="2:12" s="46" customFormat="1" ht="14.25" customHeight="1">
      <c r="B195" s="38"/>
      <c r="C195" s="44"/>
      <c r="D195" s="137"/>
      <c r="E195" s="137"/>
      <c r="F195" s="137"/>
      <c r="G195" s="327"/>
      <c r="H195" s="263"/>
      <c r="I195" s="45"/>
      <c r="J195" s="149" t="str">
        <f t="shared" si="4"/>
        <v/>
      </c>
      <c r="K195" s="151" t="str">
        <f t="shared" si="5"/>
        <v/>
      </c>
      <c r="L195" s="44"/>
    </row>
    <row r="196" spans="2:12" s="46" customFormat="1" ht="14.25" customHeight="1">
      <c r="B196" s="38"/>
      <c r="C196" s="44"/>
      <c r="D196" s="137"/>
      <c r="E196" s="137"/>
      <c r="F196" s="137"/>
      <c r="G196" s="327"/>
      <c r="H196" s="263"/>
      <c r="I196" s="45"/>
      <c r="J196" s="149" t="str">
        <f t="shared" si="4"/>
        <v/>
      </c>
      <c r="K196" s="151" t="str">
        <f t="shared" si="5"/>
        <v/>
      </c>
      <c r="L196" s="44"/>
    </row>
    <row r="197" spans="2:12" s="46" customFormat="1" ht="14.25" customHeight="1">
      <c r="B197" s="38"/>
      <c r="C197" s="44"/>
      <c r="D197" s="137"/>
      <c r="E197" s="137"/>
      <c r="F197" s="137"/>
      <c r="G197" s="327"/>
      <c r="H197" s="263"/>
      <c r="I197" s="45"/>
      <c r="J197" s="149" t="str">
        <f t="shared" si="4"/>
        <v/>
      </c>
      <c r="K197" s="151" t="str">
        <f t="shared" si="5"/>
        <v/>
      </c>
      <c r="L197" s="44"/>
    </row>
    <row r="198" spans="2:12" s="46" customFormat="1" ht="14.25" customHeight="1">
      <c r="B198" s="38"/>
      <c r="C198" s="44"/>
      <c r="D198" s="137"/>
      <c r="E198" s="137"/>
      <c r="F198" s="137"/>
      <c r="G198" s="327"/>
      <c r="H198" s="263"/>
      <c r="I198" s="45"/>
      <c r="J198" s="149" t="str">
        <f t="shared" si="4"/>
        <v/>
      </c>
      <c r="K198" s="151" t="str">
        <f t="shared" si="5"/>
        <v/>
      </c>
      <c r="L198" s="44"/>
    </row>
    <row r="199" spans="2:12" s="46" customFormat="1" ht="14.25" customHeight="1">
      <c r="B199" s="38"/>
      <c r="C199" s="44"/>
      <c r="D199" s="137"/>
      <c r="E199" s="137"/>
      <c r="F199" s="137"/>
      <c r="G199" s="327"/>
      <c r="H199" s="263"/>
      <c r="I199" s="45"/>
      <c r="J199" s="149" t="str">
        <f t="shared" si="4"/>
        <v/>
      </c>
      <c r="K199" s="151" t="str">
        <f t="shared" si="5"/>
        <v/>
      </c>
      <c r="L199" s="44"/>
    </row>
    <row r="200" spans="2:12" s="46" customFormat="1" ht="14.25" customHeight="1">
      <c r="B200" s="38"/>
      <c r="C200" s="44"/>
      <c r="D200" s="137"/>
      <c r="E200" s="137"/>
      <c r="F200" s="137"/>
      <c r="G200" s="327"/>
      <c r="H200" s="263"/>
      <c r="I200" s="45"/>
      <c r="J200" s="149" t="str">
        <f t="shared" si="4"/>
        <v/>
      </c>
      <c r="K200" s="151" t="str">
        <f t="shared" si="5"/>
        <v/>
      </c>
      <c r="L200" s="44"/>
    </row>
    <row r="201" spans="2:12" s="46" customFormat="1" ht="14.25" customHeight="1">
      <c r="B201" s="38"/>
      <c r="C201" s="44"/>
      <c r="D201" s="137"/>
      <c r="E201" s="137"/>
      <c r="F201" s="137"/>
      <c r="G201" s="327"/>
      <c r="H201" s="263"/>
      <c r="I201" s="45"/>
      <c r="J201" s="149" t="str">
        <f t="shared" si="4"/>
        <v/>
      </c>
      <c r="K201" s="151" t="str">
        <f t="shared" si="5"/>
        <v/>
      </c>
      <c r="L201" s="44"/>
    </row>
    <row r="202" spans="2:12" s="46" customFormat="1" ht="14.25" customHeight="1">
      <c r="B202" s="38"/>
      <c r="C202" s="44"/>
      <c r="D202" s="137"/>
      <c r="E202" s="137"/>
      <c r="F202" s="137"/>
      <c r="G202" s="327"/>
      <c r="H202" s="263"/>
      <c r="I202" s="45"/>
      <c r="J202" s="149" t="str">
        <f t="shared" si="4"/>
        <v/>
      </c>
      <c r="K202" s="151" t="str">
        <f t="shared" si="5"/>
        <v/>
      </c>
      <c r="L202" s="44"/>
    </row>
    <row r="203" spans="2:12" s="46" customFormat="1" ht="14.25" customHeight="1">
      <c r="B203" s="38"/>
      <c r="C203" s="44"/>
      <c r="D203" s="137"/>
      <c r="E203" s="137"/>
      <c r="F203" s="137"/>
      <c r="G203" s="327"/>
      <c r="H203" s="263"/>
      <c r="I203" s="45"/>
      <c r="J203" s="149" t="str">
        <f t="shared" ref="J203:J266" si="6">IF($C203&lt;&gt;"",$E203*1.5,"")</f>
        <v/>
      </c>
      <c r="K203" s="151" t="str">
        <f t="shared" ref="K203:K266" si="7">IFERROR($J203/10,"")</f>
        <v/>
      </c>
      <c r="L203" s="44"/>
    </row>
    <row r="204" spans="2:12" s="46" customFormat="1" ht="14.25" customHeight="1">
      <c r="B204" s="38"/>
      <c r="C204" s="44"/>
      <c r="D204" s="137"/>
      <c r="E204" s="137"/>
      <c r="F204" s="137"/>
      <c r="G204" s="327"/>
      <c r="H204" s="263"/>
      <c r="I204" s="45"/>
      <c r="J204" s="149" t="str">
        <f t="shared" si="6"/>
        <v/>
      </c>
      <c r="K204" s="151" t="str">
        <f t="shared" si="7"/>
        <v/>
      </c>
      <c r="L204" s="44"/>
    </row>
    <row r="205" spans="2:12" s="46" customFormat="1" ht="14.25" customHeight="1">
      <c r="B205" s="38"/>
      <c r="C205" s="44"/>
      <c r="D205" s="137"/>
      <c r="E205" s="137"/>
      <c r="F205" s="137"/>
      <c r="G205" s="327"/>
      <c r="H205" s="263"/>
      <c r="I205" s="45"/>
      <c r="J205" s="149" t="str">
        <f t="shared" si="6"/>
        <v/>
      </c>
      <c r="K205" s="151" t="str">
        <f t="shared" si="7"/>
        <v/>
      </c>
      <c r="L205" s="44"/>
    </row>
    <row r="206" spans="2:12" s="46" customFormat="1" ht="14.25" customHeight="1">
      <c r="B206" s="38"/>
      <c r="C206" s="44"/>
      <c r="D206" s="137"/>
      <c r="E206" s="137"/>
      <c r="F206" s="137"/>
      <c r="G206" s="327"/>
      <c r="H206" s="263"/>
      <c r="I206" s="45"/>
      <c r="J206" s="149" t="str">
        <f t="shared" si="6"/>
        <v/>
      </c>
      <c r="K206" s="151" t="str">
        <f t="shared" si="7"/>
        <v/>
      </c>
      <c r="L206" s="44"/>
    </row>
    <row r="207" spans="2:12" s="46" customFormat="1" ht="24" customHeight="1">
      <c r="B207" s="38"/>
      <c r="C207" s="44"/>
      <c r="D207" s="137"/>
      <c r="E207" s="137"/>
      <c r="F207" s="137"/>
      <c r="G207" s="327"/>
      <c r="H207" s="263"/>
      <c r="I207" s="45"/>
      <c r="J207" s="149" t="str">
        <f t="shared" si="6"/>
        <v/>
      </c>
      <c r="K207" s="151" t="str">
        <f t="shared" si="7"/>
        <v/>
      </c>
      <c r="L207" s="44"/>
    </row>
    <row r="208" spans="2:12" s="46" customFormat="1" ht="14.25" customHeight="1">
      <c r="B208" s="38"/>
      <c r="C208" s="44"/>
      <c r="D208" s="137"/>
      <c r="E208" s="137"/>
      <c r="F208" s="137"/>
      <c r="G208" s="327"/>
      <c r="H208" s="263"/>
      <c r="I208" s="45"/>
      <c r="J208" s="149" t="str">
        <f t="shared" si="6"/>
        <v/>
      </c>
      <c r="K208" s="151" t="str">
        <f t="shared" si="7"/>
        <v/>
      </c>
      <c r="L208" s="44"/>
    </row>
    <row r="209" spans="2:12" s="46" customFormat="1" ht="14.25" customHeight="1">
      <c r="B209" s="38"/>
      <c r="C209" s="44"/>
      <c r="D209" s="137"/>
      <c r="E209" s="137"/>
      <c r="F209" s="137"/>
      <c r="G209" s="327"/>
      <c r="H209" s="263"/>
      <c r="I209" s="45"/>
      <c r="J209" s="149" t="str">
        <f t="shared" si="6"/>
        <v/>
      </c>
      <c r="K209" s="151" t="str">
        <f t="shared" si="7"/>
        <v/>
      </c>
      <c r="L209" s="44"/>
    </row>
    <row r="210" spans="2:12" s="46" customFormat="1" ht="14.25" customHeight="1">
      <c r="B210" s="38"/>
      <c r="C210" s="44"/>
      <c r="D210" s="137"/>
      <c r="E210" s="137"/>
      <c r="F210" s="137"/>
      <c r="G210" s="327"/>
      <c r="H210" s="263"/>
      <c r="I210" s="45"/>
      <c r="J210" s="149" t="str">
        <f t="shared" si="6"/>
        <v/>
      </c>
      <c r="K210" s="151" t="str">
        <f t="shared" si="7"/>
        <v/>
      </c>
      <c r="L210" s="44"/>
    </row>
    <row r="211" spans="2:12" s="46" customFormat="1" ht="14.25" customHeight="1">
      <c r="B211" s="38"/>
      <c r="C211" s="44"/>
      <c r="D211" s="137"/>
      <c r="E211" s="137"/>
      <c r="F211" s="137"/>
      <c r="G211" s="327"/>
      <c r="H211" s="263"/>
      <c r="I211" s="45"/>
      <c r="J211" s="149" t="str">
        <f t="shared" si="6"/>
        <v/>
      </c>
      <c r="K211" s="151" t="str">
        <f t="shared" si="7"/>
        <v/>
      </c>
      <c r="L211" s="44"/>
    </row>
    <row r="212" spans="2:12" s="46" customFormat="1" ht="14.25" customHeight="1">
      <c r="B212" s="38"/>
      <c r="C212" s="44"/>
      <c r="D212" s="137"/>
      <c r="E212" s="137"/>
      <c r="F212" s="137"/>
      <c r="G212" s="327"/>
      <c r="H212" s="263"/>
      <c r="I212" s="45"/>
      <c r="J212" s="149" t="str">
        <f t="shared" si="6"/>
        <v/>
      </c>
      <c r="K212" s="151" t="str">
        <f t="shared" si="7"/>
        <v/>
      </c>
      <c r="L212" s="44"/>
    </row>
    <row r="213" spans="2:12" s="46" customFormat="1" ht="14.25" customHeight="1">
      <c r="B213" s="38"/>
      <c r="C213" s="44"/>
      <c r="D213" s="137"/>
      <c r="E213" s="137"/>
      <c r="F213" s="137"/>
      <c r="G213" s="327"/>
      <c r="H213" s="263"/>
      <c r="I213" s="45"/>
      <c r="J213" s="149" t="str">
        <f t="shared" si="6"/>
        <v/>
      </c>
      <c r="K213" s="151" t="str">
        <f t="shared" si="7"/>
        <v/>
      </c>
      <c r="L213" s="44"/>
    </row>
    <row r="214" spans="2:12" s="46" customFormat="1" ht="14.25" customHeight="1">
      <c r="B214" s="38"/>
      <c r="C214" s="44"/>
      <c r="D214" s="137"/>
      <c r="E214" s="137"/>
      <c r="F214" s="137"/>
      <c r="G214" s="327"/>
      <c r="H214" s="263"/>
      <c r="I214" s="45"/>
      <c r="J214" s="149" t="str">
        <f t="shared" si="6"/>
        <v/>
      </c>
      <c r="K214" s="151" t="str">
        <f t="shared" si="7"/>
        <v/>
      </c>
      <c r="L214" s="44"/>
    </row>
    <row r="215" spans="2:12" s="46" customFormat="1" ht="14.25" customHeight="1">
      <c r="B215" s="38"/>
      <c r="C215" s="44"/>
      <c r="D215" s="137"/>
      <c r="E215" s="137"/>
      <c r="F215" s="137"/>
      <c r="G215" s="327"/>
      <c r="H215" s="263"/>
      <c r="I215" s="45"/>
      <c r="J215" s="149" t="str">
        <f t="shared" si="6"/>
        <v/>
      </c>
      <c r="K215" s="151" t="str">
        <f t="shared" si="7"/>
        <v/>
      </c>
      <c r="L215" s="44"/>
    </row>
    <row r="216" spans="2:12" s="46" customFormat="1" ht="14.25" customHeight="1">
      <c r="B216" s="38"/>
      <c r="C216" s="44"/>
      <c r="D216" s="137"/>
      <c r="E216" s="137"/>
      <c r="F216" s="137"/>
      <c r="G216" s="327"/>
      <c r="H216" s="263"/>
      <c r="I216" s="45"/>
      <c r="J216" s="149" t="str">
        <f t="shared" si="6"/>
        <v/>
      </c>
      <c r="K216" s="151" t="str">
        <f t="shared" si="7"/>
        <v/>
      </c>
      <c r="L216" s="44"/>
    </row>
    <row r="217" spans="2:12" s="46" customFormat="1" ht="14.25" customHeight="1">
      <c r="B217" s="38"/>
      <c r="C217" s="44"/>
      <c r="D217" s="137"/>
      <c r="E217" s="137"/>
      <c r="F217" s="137"/>
      <c r="G217" s="327"/>
      <c r="H217" s="263"/>
      <c r="I217" s="45"/>
      <c r="J217" s="149" t="str">
        <f t="shared" si="6"/>
        <v/>
      </c>
      <c r="K217" s="151" t="str">
        <f t="shared" si="7"/>
        <v/>
      </c>
      <c r="L217" s="44"/>
    </row>
    <row r="218" spans="2:12" s="46" customFormat="1" ht="14.25" customHeight="1">
      <c r="B218" s="38"/>
      <c r="C218" s="44"/>
      <c r="D218" s="137"/>
      <c r="E218" s="137"/>
      <c r="F218" s="137"/>
      <c r="G218" s="327"/>
      <c r="H218" s="263"/>
      <c r="I218" s="45"/>
      <c r="J218" s="149" t="str">
        <f t="shared" si="6"/>
        <v/>
      </c>
      <c r="K218" s="151" t="str">
        <f t="shared" si="7"/>
        <v/>
      </c>
      <c r="L218" s="44"/>
    </row>
    <row r="219" spans="2:12" s="46" customFormat="1" ht="14.25" customHeight="1">
      <c r="B219" s="38"/>
      <c r="C219" s="44"/>
      <c r="D219" s="137"/>
      <c r="E219" s="137"/>
      <c r="F219" s="137"/>
      <c r="G219" s="327"/>
      <c r="H219" s="263"/>
      <c r="I219" s="45"/>
      <c r="J219" s="149" t="str">
        <f t="shared" si="6"/>
        <v/>
      </c>
      <c r="K219" s="151" t="str">
        <f t="shared" si="7"/>
        <v/>
      </c>
      <c r="L219" s="44"/>
    </row>
    <row r="220" spans="2:12" s="46" customFormat="1" ht="14.25" customHeight="1">
      <c r="B220" s="38"/>
      <c r="C220" s="44"/>
      <c r="D220" s="137"/>
      <c r="E220" s="137"/>
      <c r="F220" s="137"/>
      <c r="G220" s="327"/>
      <c r="H220" s="263"/>
      <c r="I220" s="45"/>
      <c r="J220" s="149" t="str">
        <f t="shared" si="6"/>
        <v/>
      </c>
      <c r="K220" s="151" t="str">
        <f t="shared" si="7"/>
        <v/>
      </c>
      <c r="L220" s="44"/>
    </row>
    <row r="221" spans="2:12" s="46" customFormat="1" ht="14.25" customHeight="1">
      <c r="B221" s="38"/>
      <c r="C221" s="44"/>
      <c r="D221" s="137"/>
      <c r="E221" s="137"/>
      <c r="F221" s="137"/>
      <c r="G221" s="327"/>
      <c r="H221" s="263"/>
      <c r="I221" s="45"/>
      <c r="J221" s="149" t="str">
        <f t="shared" si="6"/>
        <v/>
      </c>
      <c r="K221" s="151" t="str">
        <f t="shared" si="7"/>
        <v/>
      </c>
      <c r="L221" s="44"/>
    </row>
    <row r="222" spans="2:12" s="46" customFormat="1" ht="14.25" customHeight="1">
      <c r="B222" s="38"/>
      <c r="C222" s="44"/>
      <c r="D222" s="137"/>
      <c r="E222" s="137"/>
      <c r="F222" s="137"/>
      <c r="G222" s="327"/>
      <c r="H222" s="263"/>
      <c r="I222" s="45"/>
      <c r="J222" s="149" t="str">
        <f t="shared" si="6"/>
        <v/>
      </c>
      <c r="K222" s="151" t="str">
        <f t="shared" si="7"/>
        <v/>
      </c>
      <c r="L222" s="44"/>
    </row>
    <row r="223" spans="2:12" s="46" customFormat="1" ht="14.25" customHeight="1">
      <c r="B223" s="38"/>
      <c r="C223" s="44"/>
      <c r="D223" s="137"/>
      <c r="E223" s="137"/>
      <c r="F223" s="137"/>
      <c r="G223" s="327"/>
      <c r="H223" s="263"/>
      <c r="I223" s="45"/>
      <c r="J223" s="149" t="str">
        <f t="shared" si="6"/>
        <v/>
      </c>
      <c r="K223" s="151" t="str">
        <f t="shared" si="7"/>
        <v/>
      </c>
      <c r="L223" s="44"/>
    </row>
    <row r="224" spans="2:12" s="46" customFormat="1" ht="14.25" customHeight="1">
      <c r="B224" s="38"/>
      <c r="C224" s="44"/>
      <c r="D224" s="137"/>
      <c r="E224" s="137"/>
      <c r="F224" s="137"/>
      <c r="G224" s="327"/>
      <c r="H224" s="263"/>
      <c r="I224" s="45"/>
      <c r="J224" s="149" t="str">
        <f t="shared" si="6"/>
        <v/>
      </c>
      <c r="K224" s="151" t="str">
        <f t="shared" si="7"/>
        <v/>
      </c>
      <c r="L224" s="44"/>
    </row>
    <row r="225" spans="2:12" s="46" customFormat="1" ht="14.25" customHeight="1">
      <c r="B225" s="38"/>
      <c r="C225" s="44"/>
      <c r="D225" s="137"/>
      <c r="E225" s="137"/>
      <c r="F225" s="137"/>
      <c r="G225" s="327"/>
      <c r="H225" s="263"/>
      <c r="I225" s="47"/>
      <c r="J225" s="149" t="str">
        <f t="shared" si="6"/>
        <v/>
      </c>
      <c r="K225" s="151" t="str">
        <f t="shared" si="7"/>
        <v/>
      </c>
      <c r="L225" s="44"/>
    </row>
    <row r="226" spans="2:12" s="46" customFormat="1" ht="14.25" customHeight="1">
      <c r="B226" s="38"/>
      <c r="C226" s="44"/>
      <c r="D226" s="137"/>
      <c r="E226" s="137"/>
      <c r="F226" s="137"/>
      <c r="G226" s="327"/>
      <c r="H226" s="263"/>
      <c r="I226" s="47"/>
      <c r="J226" s="149" t="str">
        <f t="shared" si="6"/>
        <v/>
      </c>
      <c r="K226" s="151" t="str">
        <f t="shared" si="7"/>
        <v/>
      </c>
      <c r="L226" s="44"/>
    </row>
    <row r="227" spans="2:12" s="46" customFormat="1" ht="14.25" customHeight="1">
      <c r="B227" s="38"/>
      <c r="C227" s="44"/>
      <c r="D227" s="137"/>
      <c r="E227" s="137"/>
      <c r="F227" s="137"/>
      <c r="G227" s="327"/>
      <c r="H227" s="263"/>
      <c r="I227" s="45"/>
      <c r="J227" s="149" t="str">
        <f t="shared" si="6"/>
        <v/>
      </c>
      <c r="K227" s="151" t="str">
        <f t="shared" si="7"/>
        <v/>
      </c>
      <c r="L227" s="44"/>
    </row>
    <row r="228" spans="2:12" s="46" customFormat="1" ht="14.25" customHeight="1">
      <c r="B228" s="38"/>
      <c r="C228" s="44"/>
      <c r="D228" s="137"/>
      <c r="E228" s="137"/>
      <c r="F228" s="137"/>
      <c r="G228" s="327"/>
      <c r="H228" s="263"/>
      <c r="I228" s="45"/>
      <c r="J228" s="149" t="str">
        <f t="shared" si="6"/>
        <v/>
      </c>
      <c r="K228" s="151" t="str">
        <f t="shared" si="7"/>
        <v/>
      </c>
      <c r="L228" s="44"/>
    </row>
    <row r="229" spans="2:12" s="46" customFormat="1" ht="14.25" customHeight="1">
      <c r="B229" s="38"/>
      <c r="C229" s="44"/>
      <c r="D229" s="137"/>
      <c r="E229" s="137"/>
      <c r="F229" s="137"/>
      <c r="G229" s="327"/>
      <c r="H229" s="263"/>
      <c r="I229" s="45"/>
      <c r="J229" s="149" t="str">
        <f t="shared" si="6"/>
        <v/>
      </c>
      <c r="K229" s="151" t="str">
        <f t="shared" si="7"/>
        <v/>
      </c>
      <c r="L229" s="44"/>
    </row>
    <row r="230" spans="2:12" s="46" customFormat="1" ht="14.25" customHeight="1">
      <c r="B230" s="38"/>
      <c r="C230" s="44"/>
      <c r="D230" s="137"/>
      <c r="E230" s="137"/>
      <c r="F230" s="137"/>
      <c r="G230" s="327"/>
      <c r="H230" s="263"/>
      <c r="I230" s="45"/>
      <c r="J230" s="149" t="str">
        <f t="shared" si="6"/>
        <v/>
      </c>
      <c r="K230" s="151" t="str">
        <f t="shared" si="7"/>
        <v/>
      </c>
      <c r="L230" s="44"/>
    </row>
    <row r="231" spans="2:12" s="46" customFormat="1" ht="14.25" customHeight="1">
      <c r="B231" s="38"/>
      <c r="C231" s="44"/>
      <c r="D231" s="137"/>
      <c r="E231" s="137"/>
      <c r="F231" s="137"/>
      <c r="G231" s="327"/>
      <c r="H231" s="263"/>
      <c r="I231" s="45"/>
      <c r="J231" s="149" t="str">
        <f t="shared" si="6"/>
        <v/>
      </c>
      <c r="K231" s="151" t="str">
        <f t="shared" si="7"/>
        <v/>
      </c>
      <c r="L231" s="44"/>
    </row>
    <row r="232" spans="2:12" s="46" customFormat="1" ht="14.25" customHeight="1">
      <c r="B232" s="38"/>
      <c r="C232" s="44"/>
      <c r="D232" s="137"/>
      <c r="E232" s="137"/>
      <c r="F232" s="137"/>
      <c r="G232" s="327"/>
      <c r="H232" s="263"/>
      <c r="I232" s="45"/>
      <c r="J232" s="149" t="str">
        <f t="shared" si="6"/>
        <v/>
      </c>
      <c r="K232" s="151" t="str">
        <f t="shared" si="7"/>
        <v/>
      </c>
      <c r="L232" s="44"/>
    </row>
    <row r="233" spans="2:12" s="46" customFormat="1" ht="14.25" customHeight="1">
      <c r="B233" s="38"/>
      <c r="C233" s="44"/>
      <c r="D233" s="137"/>
      <c r="E233" s="137"/>
      <c r="F233" s="137"/>
      <c r="G233" s="327"/>
      <c r="H233" s="263"/>
      <c r="I233" s="45"/>
      <c r="J233" s="149" t="str">
        <f t="shared" si="6"/>
        <v/>
      </c>
      <c r="K233" s="151" t="str">
        <f t="shared" si="7"/>
        <v/>
      </c>
      <c r="L233" s="44"/>
    </row>
    <row r="234" spans="2:12" s="46" customFormat="1" ht="14.25" customHeight="1">
      <c r="B234" s="38"/>
      <c r="C234" s="44"/>
      <c r="D234" s="137"/>
      <c r="E234" s="137"/>
      <c r="F234" s="137"/>
      <c r="G234" s="327"/>
      <c r="H234" s="263"/>
      <c r="I234" s="45"/>
      <c r="J234" s="149" t="str">
        <f t="shared" si="6"/>
        <v/>
      </c>
      <c r="K234" s="151" t="str">
        <f t="shared" si="7"/>
        <v/>
      </c>
      <c r="L234" s="44"/>
    </row>
    <row r="235" spans="2:12" s="46" customFormat="1" ht="14.25" customHeight="1">
      <c r="B235" s="38"/>
      <c r="C235" s="44"/>
      <c r="D235" s="137"/>
      <c r="E235" s="137"/>
      <c r="F235" s="137"/>
      <c r="G235" s="327"/>
      <c r="H235" s="263"/>
      <c r="I235" s="45"/>
      <c r="J235" s="149" t="str">
        <f t="shared" si="6"/>
        <v/>
      </c>
      <c r="K235" s="151" t="str">
        <f t="shared" si="7"/>
        <v/>
      </c>
      <c r="L235" s="44"/>
    </row>
    <row r="236" spans="2:12" s="46" customFormat="1" ht="14.25" customHeight="1">
      <c r="B236" s="38"/>
      <c r="C236" s="44"/>
      <c r="D236" s="137"/>
      <c r="E236" s="137"/>
      <c r="F236" s="137"/>
      <c r="G236" s="327"/>
      <c r="H236" s="263"/>
      <c r="I236" s="45"/>
      <c r="J236" s="149" t="str">
        <f t="shared" si="6"/>
        <v/>
      </c>
      <c r="K236" s="151" t="str">
        <f t="shared" si="7"/>
        <v/>
      </c>
      <c r="L236" s="44"/>
    </row>
    <row r="237" spans="2:12" s="46" customFormat="1" ht="14.25" customHeight="1">
      <c r="B237" s="38"/>
      <c r="C237" s="44"/>
      <c r="D237" s="137"/>
      <c r="E237" s="137"/>
      <c r="F237" s="137"/>
      <c r="G237" s="327"/>
      <c r="H237" s="263"/>
      <c r="I237" s="45"/>
      <c r="J237" s="149" t="str">
        <f t="shared" si="6"/>
        <v/>
      </c>
      <c r="K237" s="151" t="str">
        <f t="shared" si="7"/>
        <v/>
      </c>
      <c r="L237" s="44"/>
    </row>
    <row r="238" spans="2:12" s="46" customFormat="1" ht="14.25" customHeight="1">
      <c r="B238" s="38"/>
      <c r="C238" s="44"/>
      <c r="D238" s="137"/>
      <c r="E238" s="137"/>
      <c r="F238" s="137"/>
      <c r="G238" s="327"/>
      <c r="H238" s="263"/>
      <c r="I238" s="45"/>
      <c r="J238" s="149" t="str">
        <f t="shared" si="6"/>
        <v/>
      </c>
      <c r="K238" s="151" t="str">
        <f t="shared" si="7"/>
        <v/>
      </c>
      <c r="L238" s="44"/>
    </row>
    <row r="239" spans="2:12" s="46" customFormat="1" ht="14.25" customHeight="1">
      <c r="B239" s="38"/>
      <c r="C239" s="44"/>
      <c r="D239" s="137"/>
      <c r="E239" s="137"/>
      <c r="F239" s="137"/>
      <c r="G239" s="327"/>
      <c r="H239" s="263"/>
      <c r="I239" s="45"/>
      <c r="J239" s="149" t="str">
        <f t="shared" si="6"/>
        <v/>
      </c>
      <c r="K239" s="151" t="str">
        <f t="shared" si="7"/>
        <v/>
      </c>
      <c r="L239" s="44"/>
    </row>
    <row r="240" spans="2:12" s="46" customFormat="1" ht="14.25" customHeight="1">
      <c r="B240" s="38"/>
      <c r="C240" s="44"/>
      <c r="D240" s="137"/>
      <c r="E240" s="137"/>
      <c r="F240" s="137"/>
      <c r="G240" s="327"/>
      <c r="H240" s="263"/>
      <c r="I240" s="45"/>
      <c r="J240" s="149" t="str">
        <f t="shared" si="6"/>
        <v/>
      </c>
      <c r="K240" s="151" t="str">
        <f t="shared" si="7"/>
        <v/>
      </c>
      <c r="L240" s="44"/>
    </row>
    <row r="241" spans="2:12" s="46" customFormat="1" ht="14.25" customHeight="1">
      <c r="B241" s="38"/>
      <c r="C241" s="44"/>
      <c r="D241" s="137"/>
      <c r="E241" s="137"/>
      <c r="F241" s="137"/>
      <c r="G241" s="327"/>
      <c r="H241" s="263"/>
      <c r="I241" s="45"/>
      <c r="J241" s="149" t="str">
        <f t="shared" si="6"/>
        <v/>
      </c>
      <c r="K241" s="151" t="str">
        <f t="shared" si="7"/>
        <v/>
      </c>
      <c r="L241" s="44"/>
    </row>
    <row r="242" spans="2:12" s="46" customFormat="1" ht="14.25" customHeight="1">
      <c r="B242" s="38"/>
      <c r="C242" s="44"/>
      <c r="D242" s="137"/>
      <c r="E242" s="137"/>
      <c r="F242" s="137"/>
      <c r="G242" s="327"/>
      <c r="H242" s="263"/>
      <c r="I242" s="45"/>
      <c r="J242" s="149" t="str">
        <f t="shared" si="6"/>
        <v/>
      </c>
      <c r="K242" s="151" t="str">
        <f t="shared" si="7"/>
        <v/>
      </c>
      <c r="L242" s="44"/>
    </row>
    <row r="243" spans="2:12" s="46" customFormat="1" ht="14.25" customHeight="1">
      <c r="B243" s="38"/>
      <c r="C243" s="44"/>
      <c r="D243" s="137"/>
      <c r="E243" s="137"/>
      <c r="F243" s="137"/>
      <c r="G243" s="327"/>
      <c r="H243" s="263"/>
      <c r="I243" s="45"/>
      <c r="J243" s="149" t="str">
        <f t="shared" si="6"/>
        <v/>
      </c>
      <c r="K243" s="151" t="str">
        <f t="shared" si="7"/>
        <v/>
      </c>
      <c r="L243" s="44"/>
    </row>
    <row r="244" spans="2:12" s="46" customFormat="1" ht="14.25" customHeight="1">
      <c r="B244" s="38"/>
      <c r="C244" s="44"/>
      <c r="D244" s="137"/>
      <c r="E244" s="137"/>
      <c r="F244" s="137"/>
      <c r="G244" s="327"/>
      <c r="H244" s="263"/>
      <c r="I244" s="45"/>
      <c r="J244" s="149" t="str">
        <f t="shared" si="6"/>
        <v/>
      </c>
      <c r="K244" s="151" t="str">
        <f t="shared" si="7"/>
        <v/>
      </c>
      <c r="L244" s="44"/>
    </row>
    <row r="245" spans="2:12" s="46" customFormat="1" ht="14.25" customHeight="1">
      <c r="B245" s="38"/>
      <c r="C245" s="44"/>
      <c r="D245" s="137"/>
      <c r="E245" s="137"/>
      <c r="F245" s="137"/>
      <c r="G245" s="327"/>
      <c r="H245" s="263"/>
      <c r="I245" s="45"/>
      <c r="J245" s="149" t="str">
        <f t="shared" si="6"/>
        <v/>
      </c>
      <c r="K245" s="151" t="str">
        <f t="shared" si="7"/>
        <v/>
      </c>
      <c r="L245" s="44"/>
    </row>
    <row r="246" spans="2:12" s="46" customFormat="1" ht="14.25" customHeight="1">
      <c r="B246" s="38"/>
      <c r="C246" s="44"/>
      <c r="D246" s="137"/>
      <c r="E246" s="137"/>
      <c r="F246" s="137"/>
      <c r="G246" s="327"/>
      <c r="H246" s="263"/>
      <c r="I246" s="45"/>
      <c r="J246" s="149" t="str">
        <f t="shared" si="6"/>
        <v/>
      </c>
      <c r="K246" s="151" t="str">
        <f t="shared" si="7"/>
        <v/>
      </c>
      <c r="L246" s="44"/>
    </row>
    <row r="247" spans="2:12" s="46" customFormat="1" ht="14.25" customHeight="1">
      <c r="B247" s="38"/>
      <c r="C247" s="44"/>
      <c r="D247" s="137"/>
      <c r="E247" s="137"/>
      <c r="F247" s="137"/>
      <c r="G247" s="327"/>
      <c r="H247" s="263"/>
      <c r="I247" s="45"/>
      <c r="J247" s="149" t="str">
        <f t="shared" si="6"/>
        <v/>
      </c>
      <c r="K247" s="151" t="str">
        <f t="shared" si="7"/>
        <v/>
      </c>
      <c r="L247" s="44"/>
    </row>
    <row r="248" spans="2:12" s="46" customFormat="1" ht="14.25" customHeight="1">
      <c r="B248" s="38"/>
      <c r="C248" s="44"/>
      <c r="D248" s="137"/>
      <c r="E248" s="137"/>
      <c r="F248" s="137"/>
      <c r="G248" s="327"/>
      <c r="H248" s="263"/>
      <c r="I248" s="45"/>
      <c r="J248" s="149" t="str">
        <f t="shared" si="6"/>
        <v/>
      </c>
      <c r="K248" s="151" t="str">
        <f t="shared" si="7"/>
        <v/>
      </c>
      <c r="L248" s="44"/>
    </row>
    <row r="249" spans="2:12" s="46" customFormat="1" ht="14.25" customHeight="1">
      <c r="B249" s="38"/>
      <c r="C249" s="44"/>
      <c r="D249" s="137"/>
      <c r="E249" s="137"/>
      <c r="F249" s="137"/>
      <c r="G249" s="327"/>
      <c r="H249" s="263"/>
      <c r="I249" s="45"/>
      <c r="J249" s="149" t="str">
        <f t="shared" si="6"/>
        <v/>
      </c>
      <c r="K249" s="151" t="str">
        <f t="shared" si="7"/>
        <v/>
      </c>
      <c r="L249" s="44"/>
    </row>
    <row r="250" spans="2:12" s="46" customFormat="1" ht="14.25" customHeight="1">
      <c r="B250" s="38"/>
      <c r="C250" s="44"/>
      <c r="D250" s="137"/>
      <c r="E250" s="137"/>
      <c r="F250" s="137"/>
      <c r="G250" s="327"/>
      <c r="H250" s="263"/>
      <c r="I250" s="45"/>
      <c r="J250" s="149" t="str">
        <f t="shared" si="6"/>
        <v/>
      </c>
      <c r="K250" s="151" t="str">
        <f t="shared" si="7"/>
        <v/>
      </c>
      <c r="L250" s="44"/>
    </row>
    <row r="251" spans="2:12" s="46" customFormat="1" ht="14.25" customHeight="1">
      <c r="B251" s="38"/>
      <c r="C251" s="44"/>
      <c r="D251" s="137"/>
      <c r="E251" s="137"/>
      <c r="F251" s="137"/>
      <c r="G251" s="327"/>
      <c r="H251" s="263"/>
      <c r="I251" s="45"/>
      <c r="J251" s="149" t="str">
        <f t="shared" si="6"/>
        <v/>
      </c>
      <c r="K251" s="151" t="str">
        <f t="shared" si="7"/>
        <v/>
      </c>
      <c r="L251" s="44"/>
    </row>
    <row r="252" spans="2:12" s="46" customFormat="1" ht="14.25" customHeight="1">
      <c r="B252" s="38"/>
      <c r="C252" s="44"/>
      <c r="D252" s="137"/>
      <c r="E252" s="137"/>
      <c r="F252" s="137"/>
      <c r="G252" s="327"/>
      <c r="H252" s="263"/>
      <c r="I252" s="45"/>
      <c r="J252" s="149" t="str">
        <f t="shared" si="6"/>
        <v/>
      </c>
      <c r="K252" s="151" t="str">
        <f t="shared" si="7"/>
        <v/>
      </c>
      <c r="L252" s="44"/>
    </row>
    <row r="253" spans="2:12" s="46" customFormat="1" ht="14.25" customHeight="1">
      <c r="B253" s="38"/>
      <c r="C253" s="44"/>
      <c r="D253" s="137"/>
      <c r="E253" s="137"/>
      <c r="F253" s="137"/>
      <c r="G253" s="327"/>
      <c r="H253" s="263"/>
      <c r="I253" s="45"/>
      <c r="J253" s="149" t="str">
        <f t="shared" si="6"/>
        <v/>
      </c>
      <c r="K253" s="151" t="str">
        <f t="shared" si="7"/>
        <v/>
      </c>
      <c r="L253" s="44"/>
    </row>
    <row r="254" spans="2:12" s="46" customFormat="1" ht="14.25" customHeight="1">
      <c r="B254" s="38"/>
      <c r="C254" s="44"/>
      <c r="D254" s="137"/>
      <c r="E254" s="137"/>
      <c r="F254" s="137"/>
      <c r="G254" s="327"/>
      <c r="H254" s="263"/>
      <c r="I254" s="45"/>
      <c r="J254" s="149" t="str">
        <f t="shared" si="6"/>
        <v/>
      </c>
      <c r="K254" s="151" t="str">
        <f t="shared" si="7"/>
        <v/>
      </c>
      <c r="L254" s="44"/>
    </row>
    <row r="255" spans="2:12" s="46" customFormat="1" ht="14.25" customHeight="1">
      <c r="B255" s="38"/>
      <c r="C255" s="44"/>
      <c r="D255" s="137"/>
      <c r="E255" s="137"/>
      <c r="F255" s="137"/>
      <c r="G255" s="327"/>
      <c r="H255" s="263"/>
      <c r="I255" s="45"/>
      <c r="J255" s="149" t="str">
        <f t="shared" si="6"/>
        <v/>
      </c>
      <c r="K255" s="151" t="str">
        <f t="shared" si="7"/>
        <v/>
      </c>
      <c r="L255" s="44"/>
    </row>
    <row r="256" spans="2:12" s="46" customFormat="1" ht="14.25" customHeight="1">
      <c r="B256" s="38"/>
      <c r="C256" s="44"/>
      <c r="D256" s="137"/>
      <c r="E256" s="137"/>
      <c r="F256" s="137"/>
      <c r="G256" s="327"/>
      <c r="H256" s="263"/>
      <c r="I256" s="45"/>
      <c r="J256" s="149" t="str">
        <f t="shared" si="6"/>
        <v/>
      </c>
      <c r="K256" s="151" t="str">
        <f t="shared" si="7"/>
        <v/>
      </c>
      <c r="L256" s="44"/>
    </row>
    <row r="257" spans="2:12" s="46" customFormat="1" ht="14.25" customHeight="1">
      <c r="B257" s="38"/>
      <c r="C257" s="44"/>
      <c r="D257" s="137"/>
      <c r="E257" s="137"/>
      <c r="F257" s="137"/>
      <c r="G257" s="327"/>
      <c r="H257" s="263"/>
      <c r="I257" s="45"/>
      <c r="J257" s="149" t="str">
        <f t="shared" si="6"/>
        <v/>
      </c>
      <c r="K257" s="151" t="str">
        <f t="shared" si="7"/>
        <v/>
      </c>
      <c r="L257" s="44"/>
    </row>
    <row r="258" spans="2:12" s="46" customFormat="1" ht="14.25" customHeight="1">
      <c r="B258" s="38"/>
      <c r="C258" s="44"/>
      <c r="D258" s="137"/>
      <c r="E258" s="137"/>
      <c r="F258" s="137"/>
      <c r="G258" s="327"/>
      <c r="H258" s="263"/>
      <c r="I258" s="45"/>
      <c r="J258" s="149" t="str">
        <f t="shared" si="6"/>
        <v/>
      </c>
      <c r="K258" s="151" t="str">
        <f t="shared" si="7"/>
        <v/>
      </c>
      <c r="L258" s="44"/>
    </row>
    <row r="259" spans="2:12" s="46" customFormat="1" ht="14.25" customHeight="1">
      <c r="B259" s="38"/>
      <c r="C259" s="44"/>
      <c r="D259" s="137"/>
      <c r="E259" s="137"/>
      <c r="F259" s="137"/>
      <c r="G259" s="327"/>
      <c r="H259" s="263"/>
      <c r="I259" s="45"/>
      <c r="J259" s="149" t="str">
        <f t="shared" si="6"/>
        <v/>
      </c>
      <c r="K259" s="151" t="str">
        <f t="shared" si="7"/>
        <v/>
      </c>
      <c r="L259" s="44"/>
    </row>
    <row r="260" spans="2:12" s="46" customFormat="1" ht="14.25" customHeight="1">
      <c r="B260" s="38"/>
      <c r="C260" s="44"/>
      <c r="D260" s="137"/>
      <c r="E260" s="137"/>
      <c r="F260" s="137"/>
      <c r="G260" s="327"/>
      <c r="H260" s="263"/>
      <c r="I260" s="45"/>
      <c r="J260" s="149" t="str">
        <f t="shared" si="6"/>
        <v/>
      </c>
      <c r="K260" s="151" t="str">
        <f t="shared" si="7"/>
        <v/>
      </c>
      <c r="L260" s="44"/>
    </row>
    <row r="261" spans="2:12" s="46" customFormat="1" ht="14.25" customHeight="1">
      <c r="B261" s="38"/>
      <c r="C261" s="44"/>
      <c r="D261" s="137"/>
      <c r="E261" s="137"/>
      <c r="F261" s="137"/>
      <c r="G261" s="327"/>
      <c r="H261" s="263"/>
      <c r="I261" s="45"/>
      <c r="J261" s="149" t="str">
        <f t="shared" si="6"/>
        <v/>
      </c>
      <c r="K261" s="151" t="str">
        <f t="shared" si="7"/>
        <v/>
      </c>
      <c r="L261" s="44"/>
    </row>
    <row r="262" spans="2:12" s="46" customFormat="1" ht="14.25" customHeight="1">
      <c r="B262" s="38"/>
      <c r="C262" s="44"/>
      <c r="D262" s="137"/>
      <c r="E262" s="137"/>
      <c r="F262" s="137"/>
      <c r="G262" s="327"/>
      <c r="H262" s="263"/>
      <c r="I262" s="45"/>
      <c r="J262" s="149" t="str">
        <f t="shared" si="6"/>
        <v/>
      </c>
      <c r="K262" s="151" t="str">
        <f t="shared" si="7"/>
        <v/>
      </c>
      <c r="L262" s="44"/>
    </row>
    <row r="263" spans="2:12" s="46" customFormat="1" ht="14.25" customHeight="1">
      <c r="B263" s="38"/>
      <c r="C263" s="44"/>
      <c r="D263" s="137"/>
      <c r="E263" s="137"/>
      <c r="F263" s="137"/>
      <c r="G263" s="327"/>
      <c r="H263" s="263"/>
      <c r="I263" s="45"/>
      <c r="J263" s="149" t="str">
        <f t="shared" si="6"/>
        <v/>
      </c>
      <c r="K263" s="151" t="str">
        <f t="shared" si="7"/>
        <v/>
      </c>
      <c r="L263" s="44"/>
    </row>
    <row r="264" spans="2:12" s="46" customFormat="1" ht="14.25" customHeight="1">
      <c r="B264" s="38"/>
      <c r="C264" s="44"/>
      <c r="D264" s="137"/>
      <c r="E264" s="137"/>
      <c r="F264" s="137"/>
      <c r="G264" s="327"/>
      <c r="H264" s="263"/>
      <c r="I264" s="45"/>
      <c r="J264" s="149" t="str">
        <f t="shared" si="6"/>
        <v/>
      </c>
      <c r="K264" s="151" t="str">
        <f t="shared" si="7"/>
        <v/>
      </c>
      <c r="L264" s="44"/>
    </row>
    <row r="265" spans="2:12" s="46" customFormat="1" ht="14.25" customHeight="1">
      <c r="B265" s="38"/>
      <c r="C265" s="44"/>
      <c r="D265" s="137"/>
      <c r="E265" s="137"/>
      <c r="F265" s="137"/>
      <c r="G265" s="327"/>
      <c r="H265" s="263"/>
      <c r="I265" s="45"/>
      <c r="J265" s="149" t="str">
        <f t="shared" si="6"/>
        <v/>
      </c>
      <c r="K265" s="151" t="str">
        <f t="shared" si="7"/>
        <v/>
      </c>
      <c r="L265" s="44"/>
    </row>
    <row r="266" spans="2:12" s="46" customFormat="1" ht="14.25" customHeight="1">
      <c r="B266" s="38"/>
      <c r="C266" s="44"/>
      <c r="D266" s="137"/>
      <c r="E266" s="137"/>
      <c r="F266" s="137"/>
      <c r="G266" s="327"/>
      <c r="H266" s="263"/>
      <c r="I266" s="45"/>
      <c r="J266" s="149" t="str">
        <f t="shared" si="6"/>
        <v/>
      </c>
      <c r="K266" s="151" t="str">
        <f t="shared" si="7"/>
        <v/>
      </c>
      <c r="L266" s="44"/>
    </row>
    <row r="267" spans="2:12" s="46" customFormat="1" ht="14.25" customHeight="1">
      <c r="B267" s="38"/>
      <c r="C267" s="44"/>
      <c r="D267" s="137"/>
      <c r="E267" s="137"/>
      <c r="F267" s="137"/>
      <c r="G267" s="327"/>
      <c r="H267" s="263"/>
      <c r="I267" s="45"/>
      <c r="J267" s="149" t="str">
        <f t="shared" ref="J267:J330" si="8">IF($C267&lt;&gt;"",$E267*1.5,"")</f>
        <v/>
      </c>
      <c r="K267" s="151" t="str">
        <f t="shared" ref="K267:K330" si="9">IFERROR($J267/10,"")</f>
        <v/>
      </c>
      <c r="L267" s="44"/>
    </row>
    <row r="268" spans="2:12" s="46" customFormat="1" ht="14.25" customHeight="1">
      <c r="B268" s="38"/>
      <c r="C268" s="44"/>
      <c r="D268" s="137"/>
      <c r="E268" s="137"/>
      <c r="F268" s="137"/>
      <c r="G268" s="327"/>
      <c r="H268" s="263"/>
      <c r="I268" s="45"/>
      <c r="J268" s="149" t="str">
        <f t="shared" si="8"/>
        <v/>
      </c>
      <c r="K268" s="151" t="str">
        <f t="shared" si="9"/>
        <v/>
      </c>
      <c r="L268" s="44"/>
    </row>
    <row r="269" spans="2:12" s="46" customFormat="1" ht="14.25" customHeight="1">
      <c r="B269" s="38"/>
      <c r="C269" s="44"/>
      <c r="D269" s="137"/>
      <c r="E269" s="137"/>
      <c r="F269" s="137"/>
      <c r="G269" s="327"/>
      <c r="H269" s="263"/>
      <c r="I269" s="45"/>
      <c r="J269" s="149" t="str">
        <f t="shared" si="8"/>
        <v/>
      </c>
      <c r="K269" s="151" t="str">
        <f t="shared" si="9"/>
        <v/>
      </c>
      <c r="L269" s="44"/>
    </row>
    <row r="270" spans="2:12" s="46" customFormat="1" ht="14.25" customHeight="1">
      <c r="B270" s="38"/>
      <c r="C270" s="44"/>
      <c r="D270" s="137"/>
      <c r="E270" s="137"/>
      <c r="F270" s="137"/>
      <c r="G270" s="327"/>
      <c r="H270" s="263"/>
      <c r="I270" s="45"/>
      <c r="J270" s="149" t="str">
        <f t="shared" si="8"/>
        <v/>
      </c>
      <c r="K270" s="151" t="str">
        <f t="shared" si="9"/>
        <v/>
      </c>
      <c r="L270" s="44"/>
    </row>
    <row r="271" spans="2:12" s="46" customFormat="1" ht="14.25" customHeight="1">
      <c r="B271" s="38"/>
      <c r="C271" s="44"/>
      <c r="D271" s="137"/>
      <c r="E271" s="137"/>
      <c r="F271" s="137"/>
      <c r="G271" s="327"/>
      <c r="H271" s="263"/>
      <c r="I271" s="45"/>
      <c r="J271" s="149" t="str">
        <f t="shared" si="8"/>
        <v/>
      </c>
      <c r="K271" s="151" t="str">
        <f t="shared" si="9"/>
        <v/>
      </c>
      <c r="L271" s="44"/>
    </row>
    <row r="272" spans="2:12" s="46" customFormat="1" ht="14.25" customHeight="1">
      <c r="B272" s="38"/>
      <c r="C272" s="44"/>
      <c r="D272" s="137"/>
      <c r="E272" s="137"/>
      <c r="F272" s="137"/>
      <c r="G272" s="327"/>
      <c r="H272" s="263"/>
      <c r="I272" s="45"/>
      <c r="J272" s="149" t="str">
        <f t="shared" si="8"/>
        <v/>
      </c>
      <c r="K272" s="151" t="str">
        <f t="shared" si="9"/>
        <v/>
      </c>
      <c r="L272" s="44"/>
    </row>
    <row r="273" spans="2:12" s="46" customFormat="1" ht="14.25" customHeight="1">
      <c r="B273" s="38"/>
      <c r="C273" s="44"/>
      <c r="D273" s="137"/>
      <c r="E273" s="137"/>
      <c r="F273" s="137"/>
      <c r="G273" s="327"/>
      <c r="H273" s="263"/>
      <c r="I273" s="45"/>
      <c r="J273" s="149" t="str">
        <f t="shared" si="8"/>
        <v/>
      </c>
      <c r="K273" s="151" t="str">
        <f t="shared" si="9"/>
        <v/>
      </c>
      <c r="L273" s="44"/>
    </row>
    <row r="274" spans="2:12" s="46" customFormat="1" ht="14.25" customHeight="1">
      <c r="B274" s="38"/>
      <c r="C274" s="44"/>
      <c r="D274" s="137"/>
      <c r="E274" s="137"/>
      <c r="F274" s="137"/>
      <c r="G274" s="327"/>
      <c r="H274" s="263"/>
      <c r="I274" s="45"/>
      <c r="J274" s="149" t="str">
        <f t="shared" si="8"/>
        <v/>
      </c>
      <c r="K274" s="151" t="str">
        <f t="shared" si="9"/>
        <v/>
      </c>
      <c r="L274" s="44"/>
    </row>
    <row r="275" spans="2:12" s="46" customFormat="1" ht="14.25" customHeight="1">
      <c r="B275" s="38"/>
      <c r="C275" s="44"/>
      <c r="D275" s="137"/>
      <c r="E275" s="137"/>
      <c r="F275" s="137"/>
      <c r="G275" s="327"/>
      <c r="H275" s="263"/>
      <c r="I275" s="45"/>
      <c r="J275" s="149" t="str">
        <f t="shared" si="8"/>
        <v/>
      </c>
      <c r="K275" s="151" t="str">
        <f t="shared" si="9"/>
        <v/>
      </c>
      <c r="L275" s="44"/>
    </row>
    <row r="276" spans="2:12" s="46" customFormat="1" ht="14.25" customHeight="1">
      <c r="B276" s="38"/>
      <c r="C276" s="44"/>
      <c r="D276" s="137"/>
      <c r="E276" s="137"/>
      <c r="F276" s="137"/>
      <c r="G276" s="327"/>
      <c r="H276" s="263"/>
      <c r="I276" s="45"/>
      <c r="J276" s="149" t="str">
        <f t="shared" si="8"/>
        <v/>
      </c>
      <c r="K276" s="151" t="str">
        <f t="shared" si="9"/>
        <v/>
      </c>
      <c r="L276" s="44"/>
    </row>
    <row r="277" spans="2:12" s="46" customFormat="1" ht="14.25" customHeight="1">
      <c r="B277" s="38"/>
      <c r="C277" s="44"/>
      <c r="D277" s="137"/>
      <c r="E277" s="137"/>
      <c r="F277" s="137"/>
      <c r="G277" s="327"/>
      <c r="H277" s="263"/>
      <c r="I277" s="45"/>
      <c r="J277" s="149" t="str">
        <f t="shared" si="8"/>
        <v/>
      </c>
      <c r="K277" s="151" t="str">
        <f t="shared" si="9"/>
        <v/>
      </c>
      <c r="L277" s="44"/>
    </row>
    <row r="278" spans="2:12" s="46" customFormat="1" ht="14.25" customHeight="1">
      <c r="B278" s="38"/>
      <c r="C278" s="44"/>
      <c r="D278" s="137"/>
      <c r="E278" s="137"/>
      <c r="F278" s="137"/>
      <c r="G278" s="327"/>
      <c r="H278" s="263"/>
      <c r="I278" s="45"/>
      <c r="J278" s="149" t="str">
        <f t="shared" si="8"/>
        <v/>
      </c>
      <c r="K278" s="151" t="str">
        <f t="shared" si="9"/>
        <v/>
      </c>
      <c r="L278" s="44"/>
    </row>
    <row r="279" spans="2:12" s="46" customFormat="1" ht="14.25" customHeight="1">
      <c r="B279" s="38"/>
      <c r="C279" s="44"/>
      <c r="D279" s="137"/>
      <c r="E279" s="137"/>
      <c r="F279" s="137"/>
      <c r="G279" s="327"/>
      <c r="H279" s="263"/>
      <c r="I279" s="45"/>
      <c r="J279" s="149" t="str">
        <f t="shared" si="8"/>
        <v/>
      </c>
      <c r="K279" s="151" t="str">
        <f t="shared" si="9"/>
        <v/>
      </c>
      <c r="L279" s="44"/>
    </row>
    <row r="280" spans="2:12" s="46" customFormat="1" ht="14.25" customHeight="1">
      <c r="B280" s="38"/>
      <c r="C280" s="44"/>
      <c r="D280" s="137"/>
      <c r="E280" s="137"/>
      <c r="F280" s="137"/>
      <c r="G280" s="327"/>
      <c r="H280" s="263"/>
      <c r="I280" s="45"/>
      <c r="J280" s="149" t="str">
        <f t="shared" si="8"/>
        <v/>
      </c>
      <c r="K280" s="151" t="str">
        <f t="shared" si="9"/>
        <v/>
      </c>
      <c r="L280" s="44"/>
    </row>
    <row r="281" spans="2:12" s="46" customFormat="1" ht="14.25" customHeight="1">
      <c r="B281" s="38"/>
      <c r="C281" s="44"/>
      <c r="D281" s="137"/>
      <c r="E281" s="137"/>
      <c r="F281" s="137"/>
      <c r="G281" s="327"/>
      <c r="H281" s="263"/>
      <c r="I281" s="45"/>
      <c r="J281" s="149" t="str">
        <f t="shared" si="8"/>
        <v/>
      </c>
      <c r="K281" s="151" t="str">
        <f t="shared" si="9"/>
        <v/>
      </c>
      <c r="L281" s="44"/>
    </row>
    <row r="282" spans="2:12" s="46" customFormat="1" ht="14.25" customHeight="1">
      <c r="B282" s="38"/>
      <c r="C282" s="44"/>
      <c r="D282" s="137"/>
      <c r="E282" s="137"/>
      <c r="F282" s="137"/>
      <c r="G282" s="327"/>
      <c r="H282" s="263"/>
      <c r="I282" s="45"/>
      <c r="J282" s="149" t="str">
        <f t="shared" si="8"/>
        <v/>
      </c>
      <c r="K282" s="151" t="str">
        <f t="shared" si="9"/>
        <v/>
      </c>
      <c r="L282" s="44"/>
    </row>
    <row r="283" spans="2:12" s="46" customFormat="1" ht="14.25" customHeight="1">
      <c r="B283" s="38"/>
      <c r="C283" s="44"/>
      <c r="D283" s="137"/>
      <c r="E283" s="137"/>
      <c r="F283" s="137"/>
      <c r="G283" s="327"/>
      <c r="H283" s="263"/>
      <c r="I283" s="45"/>
      <c r="J283" s="149" t="str">
        <f t="shared" si="8"/>
        <v/>
      </c>
      <c r="K283" s="151" t="str">
        <f t="shared" si="9"/>
        <v/>
      </c>
      <c r="L283" s="44"/>
    </row>
    <row r="284" spans="2:12" s="46" customFormat="1" ht="14.25" customHeight="1">
      <c r="B284" s="38"/>
      <c r="C284" s="44"/>
      <c r="D284" s="137"/>
      <c r="E284" s="137"/>
      <c r="F284" s="137"/>
      <c r="G284" s="327"/>
      <c r="H284" s="263"/>
      <c r="I284" s="45"/>
      <c r="J284" s="149" t="str">
        <f t="shared" si="8"/>
        <v/>
      </c>
      <c r="K284" s="151" t="str">
        <f t="shared" si="9"/>
        <v/>
      </c>
      <c r="L284" s="44"/>
    </row>
    <row r="285" spans="2:12" s="46" customFormat="1" ht="14.25" customHeight="1">
      <c r="B285" s="38"/>
      <c r="C285" s="44"/>
      <c r="D285" s="137"/>
      <c r="E285" s="137"/>
      <c r="F285" s="137"/>
      <c r="G285" s="327"/>
      <c r="H285" s="263"/>
      <c r="I285" s="45"/>
      <c r="J285" s="149" t="str">
        <f t="shared" si="8"/>
        <v/>
      </c>
      <c r="K285" s="151" t="str">
        <f t="shared" si="9"/>
        <v/>
      </c>
      <c r="L285" s="44"/>
    </row>
    <row r="286" spans="2:12" s="46" customFormat="1" ht="14.25" customHeight="1">
      <c r="B286" s="38"/>
      <c r="C286" s="44"/>
      <c r="D286" s="137"/>
      <c r="E286" s="137"/>
      <c r="F286" s="137"/>
      <c r="G286" s="327"/>
      <c r="H286" s="263"/>
      <c r="I286" s="45"/>
      <c r="J286" s="149" t="str">
        <f t="shared" si="8"/>
        <v/>
      </c>
      <c r="K286" s="151" t="str">
        <f t="shared" si="9"/>
        <v/>
      </c>
      <c r="L286" s="44"/>
    </row>
    <row r="287" spans="2:12" s="46" customFormat="1" ht="14.25" customHeight="1">
      <c r="B287" s="38"/>
      <c r="C287" s="44"/>
      <c r="D287" s="137"/>
      <c r="E287" s="137"/>
      <c r="F287" s="137"/>
      <c r="G287" s="327"/>
      <c r="H287" s="263"/>
      <c r="I287" s="45"/>
      <c r="J287" s="149" t="str">
        <f t="shared" si="8"/>
        <v/>
      </c>
      <c r="K287" s="151" t="str">
        <f t="shared" si="9"/>
        <v/>
      </c>
      <c r="L287" s="44"/>
    </row>
    <row r="288" spans="2:12" s="46" customFormat="1" ht="14.25" customHeight="1">
      <c r="B288" s="38"/>
      <c r="C288" s="44"/>
      <c r="D288" s="137"/>
      <c r="E288" s="137"/>
      <c r="F288" s="137"/>
      <c r="G288" s="327"/>
      <c r="H288" s="263"/>
      <c r="I288" s="45"/>
      <c r="J288" s="149" t="str">
        <f t="shared" si="8"/>
        <v/>
      </c>
      <c r="K288" s="151" t="str">
        <f t="shared" si="9"/>
        <v/>
      </c>
      <c r="L288" s="44"/>
    </row>
    <row r="289" spans="2:12" s="46" customFormat="1" ht="14.25" customHeight="1">
      <c r="B289" s="38"/>
      <c r="C289" s="44"/>
      <c r="D289" s="137"/>
      <c r="E289" s="137"/>
      <c r="F289" s="137"/>
      <c r="G289" s="327"/>
      <c r="H289" s="263"/>
      <c r="I289" s="45"/>
      <c r="J289" s="149" t="str">
        <f t="shared" si="8"/>
        <v/>
      </c>
      <c r="K289" s="151" t="str">
        <f t="shared" si="9"/>
        <v/>
      </c>
      <c r="L289" s="44"/>
    </row>
    <row r="290" spans="2:12" s="46" customFormat="1" ht="14.25" customHeight="1">
      <c r="B290" s="38"/>
      <c r="C290" s="44"/>
      <c r="D290" s="137"/>
      <c r="E290" s="137"/>
      <c r="F290" s="137"/>
      <c r="G290" s="327"/>
      <c r="H290" s="263"/>
      <c r="I290" s="45"/>
      <c r="J290" s="149" t="str">
        <f t="shared" si="8"/>
        <v/>
      </c>
      <c r="K290" s="151" t="str">
        <f t="shared" si="9"/>
        <v/>
      </c>
      <c r="L290" s="44"/>
    </row>
    <row r="291" spans="2:12" s="46" customFormat="1" ht="14.25" customHeight="1">
      <c r="B291" s="38"/>
      <c r="C291" s="44"/>
      <c r="D291" s="137"/>
      <c r="E291" s="137"/>
      <c r="F291" s="137"/>
      <c r="G291" s="327"/>
      <c r="H291" s="263"/>
      <c r="I291" s="45"/>
      <c r="J291" s="149" t="str">
        <f t="shared" si="8"/>
        <v/>
      </c>
      <c r="K291" s="151" t="str">
        <f t="shared" si="9"/>
        <v/>
      </c>
      <c r="L291" s="44"/>
    </row>
    <row r="292" spans="2:12" s="46" customFormat="1" ht="14.25" customHeight="1">
      <c r="B292" s="38"/>
      <c r="C292" s="44"/>
      <c r="D292" s="137"/>
      <c r="E292" s="137"/>
      <c r="F292" s="137"/>
      <c r="G292" s="327"/>
      <c r="H292" s="263"/>
      <c r="I292" s="45"/>
      <c r="J292" s="149" t="str">
        <f t="shared" si="8"/>
        <v/>
      </c>
      <c r="K292" s="151" t="str">
        <f t="shared" si="9"/>
        <v/>
      </c>
      <c r="L292" s="44"/>
    </row>
    <row r="293" spans="2:12" s="46" customFormat="1" ht="14.25" customHeight="1">
      <c r="B293" s="38"/>
      <c r="C293" s="44"/>
      <c r="D293" s="137"/>
      <c r="E293" s="137"/>
      <c r="F293" s="137"/>
      <c r="G293" s="327"/>
      <c r="H293" s="263"/>
      <c r="I293" s="45"/>
      <c r="J293" s="149" t="str">
        <f t="shared" si="8"/>
        <v/>
      </c>
      <c r="K293" s="151" t="str">
        <f t="shared" si="9"/>
        <v/>
      </c>
      <c r="L293" s="44"/>
    </row>
    <row r="294" spans="2:12" s="46" customFormat="1" ht="14.25" customHeight="1">
      <c r="B294" s="38"/>
      <c r="C294" s="44"/>
      <c r="D294" s="137"/>
      <c r="E294" s="137"/>
      <c r="F294" s="137"/>
      <c r="G294" s="327"/>
      <c r="H294" s="263"/>
      <c r="I294" s="45"/>
      <c r="J294" s="149" t="str">
        <f t="shared" si="8"/>
        <v/>
      </c>
      <c r="K294" s="151" t="str">
        <f t="shared" si="9"/>
        <v/>
      </c>
      <c r="L294" s="44"/>
    </row>
    <row r="295" spans="2:12" s="46" customFormat="1" ht="14.25" customHeight="1">
      <c r="B295" s="38"/>
      <c r="C295" s="44"/>
      <c r="D295" s="137"/>
      <c r="E295" s="137"/>
      <c r="F295" s="137"/>
      <c r="G295" s="327"/>
      <c r="H295" s="263"/>
      <c r="I295" s="45"/>
      <c r="J295" s="149" t="str">
        <f t="shared" si="8"/>
        <v/>
      </c>
      <c r="K295" s="151" t="str">
        <f t="shared" si="9"/>
        <v/>
      </c>
      <c r="L295" s="44"/>
    </row>
    <row r="296" spans="2:12" s="46" customFormat="1" ht="14.25" customHeight="1">
      <c r="B296" s="38"/>
      <c r="C296" s="44"/>
      <c r="D296" s="137"/>
      <c r="E296" s="137"/>
      <c r="F296" s="137"/>
      <c r="G296" s="327"/>
      <c r="H296" s="263"/>
      <c r="I296" s="45"/>
      <c r="J296" s="149" t="str">
        <f t="shared" si="8"/>
        <v/>
      </c>
      <c r="K296" s="151" t="str">
        <f t="shared" si="9"/>
        <v/>
      </c>
      <c r="L296" s="44"/>
    </row>
    <row r="297" spans="2:12" s="46" customFormat="1" ht="14.25" customHeight="1">
      <c r="B297" s="38"/>
      <c r="C297" s="44"/>
      <c r="D297" s="137"/>
      <c r="E297" s="137"/>
      <c r="F297" s="137"/>
      <c r="G297" s="327"/>
      <c r="H297" s="263"/>
      <c r="I297" s="45"/>
      <c r="J297" s="149" t="str">
        <f t="shared" si="8"/>
        <v/>
      </c>
      <c r="K297" s="151" t="str">
        <f t="shared" si="9"/>
        <v/>
      </c>
      <c r="L297" s="44"/>
    </row>
    <row r="298" spans="2:12" s="46" customFormat="1" ht="14.25" customHeight="1">
      <c r="B298" s="38"/>
      <c r="C298" s="44"/>
      <c r="D298" s="137"/>
      <c r="E298" s="137"/>
      <c r="F298" s="137"/>
      <c r="G298" s="327"/>
      <c r="H298" s="263"/>
      <c r="I298" s="45"/>
      <c r="J298" s="149" t="str">
        <f t="shared" si="8"/>
        <v/>
      </c>
      <c r="K298" s="151" t="str">
        <f t="shared" si="9"/>
        <v/>
      </c>
      <c r="L298" s="44"/>
    </row>
    <row r="299" spans="2:12" s="46" customFormat="1" ht="14.25" customHeight="1">
      <c r="B299" s="38"/>
      <c r="C299" s="44"/>
      <c r="D299" s="137"/>
      <c r="E299" s="137"/>
      <c r="F299" s="137"/>
      <c r="G299" s="327"/>
      <c r="H299" s="263"/>
      <c r="I299" s="45"/>
      <c r="J299" s="149" t="str">
        <f t="shared" si="8"/>
        <v/>
      </c>
      <c r="K299" s="151" t="str">
        <f t="shared" si="9"/>
        <v/>
      </c>
      <c r="L299" s="44"/>
    </row>
    <row r="300" spans="2:12" s="46" customFormat="1" ht="14.25" customHeight="1">
      <c r="B300" s="38"/>
      <c r="C300" s="44"/>
      <c r="D300" s="137"/>
      <c r="E300" s="137"/>
      <c r="F300" s="137"/>
      <c r="G300" s="327"/>
      <c r="H300" s="263"/>
      <c r="I300" s="45"/>
      <c r="J300" s="149" t="str">
        <f t="shared" si="8"/>
        <v/>
      </c>
      <c r="K300" s="151" t="str">
        <f t="shared" si="9"/>
        <v/>
      </c>
      <c r="L300" s="44"/>
    </row>
    <row r="301" spans="2:12" s="46" customFormat="1" ht="14.25" customHeight="1">
      <c r="B301" s="38"/>
      <c r="C301" s="44"/>
      <c r="D301" s="137"/>
      <c r="E301" s="137"/>
      <c r="F301" s="137"/>
      <c r="G301" s="327"/>
      <c r="H301" s="263"/>
      <c r="I301" s="45"/>
      <c r="J301" s="149" t="str">
        <f t="shared" si="8"/>
        <v/>
      </c>
      <c r="K301" s="151" t="str">
        <f t="shared" si="9"/>
        <v/>
      </c>
      <c r="L301" s="44"/>
    </row>
    <row r="302" spans="2:12" s="46" customFormat="1" ht="14.25" customHeight="1">
      <c r="B302" s="38"/>
      <c r="C302" s="44"/>
      <c r="D302" s="137"/>
      <c r="E302" s="137"/>
      <c r="F302" s="137"/>
      <c r="G302" s="327"/>
      <c r="H302" s="263"/>
      <c r="I302" s="45"/>
      <c r="J302" s="149" t="str">
        <f t="shared" si="8"/>
        <v/>
      </c>
      <c r="K302" s="151" t="str">
        <f t="shared" si="9"/>
        <v/>
      </c>
      <c r="L302" s="44"/>
    </row>
    <row r="303" spans="2:12" s="46" customFormat="1" ht="14.25" customHeight="1">
      <c r="B303" s="38"/>
      <c r="C303" s="44"/>
      <c r="D303" s="137"/>
      <c r="E303" s="137"/>
      <c r="F303" s="137"/>
      <c r="G303" s="327"/>
      <c r="H303" s="263"/>
      <c r="I303" s="45"/>
      <c r="J303" s="149" t="str">
        <f t="shared" si="8"/>
        <v/>
      </c>
      <c r="K303" s="151" t="str">
        <f t="shared" si="9"/>
        <v/>
      </c>
      <c r="L303" s="44"/>
    </row>
    <row r="304" spans="2:12" s="46" customFormat="1" ht="14.25" customHeight="1">
      <c r="B304" s="38"/>
      <c r="C304" s="44"/>
      <c r="D304" s="137"/>
      <c r="E304" s="137"/>
      <c r="F304" s="137"/>
      <c r="G304" s="327"/>
      <c r="H304" s="263"/>
      <c r="I304" s="45"/>
      <c r="J304" s="149" t="str">
        <f t="shared" si="8"/>
        <v/>
      </c>
      <c r="K304" s="151" t="str">
        <f t="shared" si="9"/>
        <v/>
      </c>
      <c r="L304" s="44"/>
    </row>
    <row r="305" spans="2:12" s="46" customFormat="1" ht="14.25" customHeight="1">
      <c r="B305" s="38"/>
      <c r="C305" s="44"/>
      <c r="D305" s="137"/>
      <c r="E305" s="137"/>
      <c r="F305" s="137"/>
      <c r="G305" s="327"/>
      <c r="H305" s="263"/>
      <c r="I305" s="45"/>
      <c r="J305" s="149" t="str">
        <f t="shared" si="8"/>
        <v/>
      </c>
      <c r="K305" s="151" t="str">
        <f t="shared" si="9"/>
        <v/>
      </c>
      <c r="L305" s="44"/>
    </row>
    <row r="306" spans="2:12" s="46" customFormat="1" ht="14.25" customHeight="1">
      <c r="B306" s="38"/>
      <c r="C306" s="44"/>
      <c r="D306" s="137"/>
      <c r="E306" s="137"/>
      <c r="F306" s="137"/>
      <c r="G306" s="327"/>
      <c r="H306" s="263"/>
      <c r="I306" s="45"/>
      <c r="J306" s="149" t="str">
        <f t="shared" si="8"/>
        <v/>
      </c>
      <c r="K306" s="151" t="str">
        <f t="shared" si="9"/>
        <v/>
      </c>
      <c r="L306" s="44"/>
    </row>
    <row r="307" spans="2:12" s="46" customFormat="1" ht="14.25" customHeight="1">
      <c r="B307" s="38"/>
      <c r="C307" s="44"/>
      <c r="D307" s="137"/>
      <c r="E307" s="137"/>
      <c r="F307" s="137"/>
      <c r="G307" s="327"/>
      <c r="H307" s="263"/>
      <c r="I307" s="45"/>
      <c r="J307" s="149" t="str">
        <f t="shared" si="8"/>
        <v/>
      </c>
      <c r="K307" s="151" t="str">
        <f t="shared" si="9"/>
        <v/>
      </c>
      <c r="L307" s="44"/>
    </row>
    <row r="308" spans="2:12" s="46" customFormat="1" ht="14.25" customHeight="1">
      <c r="B308" s="38"/>
      <c r="C308" s="44"/>
      <c r="D308" s="137"/>
      <c r="E308" s="137"/>
      <c r="F308" s="137"/>
      <c r="G308" s="327"/>
      <c r="H308" s="263"/>
      <c r="I308" s="45"/>
      <c r="J308" s="149" t="str">
        <f t="shared" si="8"/>
        <v/>
      </c>
      <c r="K308" s="151" t="str">
        <f t="shared" si="9"/>
        <v/>
      </c>
      <c r="L308" s="44"/>
    </row>
    <row r="309" spans="2:12" s="46" customFormat="1" ht="14.25" customHeight="1">
      <c r="B309" s="38"/>
      <c r="C309" s="44"/>
      <c r="D309" s="137"/>
      <c r="E309" s="137"/>
      <c r="F309" s="137"/>
      <c r="G309" s="327"/>
      <c r="H309" s="263"/>
      <c r="I309" s="45"/>
      <c r="J309" s="149" t="str">
        <f t="shared" si="8"/>
        <v/>
      </c>
      <c r="K309" s="151" t="str">
        <f t="shared" si="9"/>
        <v/>
      </c>
      <c r="L309" s="44"/>
    </row>
    <row r="310" spans="2:12" s="46" customFormat="1" ht="14.25" customHeight="1">
      <c r="B310" s="38"/>
      <c r="C310" s="44"/>
      <c r="D310" s="137"/>
      <c r="E310" s="137"/>
      <c r="F310" s="137"/>
      <c r="G310" s="327"/>
      <c r="H310" s="263"/>
      <c r="I310" s="45"/>
      <c r="J310" s="149" t="str">
        <f t="shared" si="8"/>
        <v/>
      </c>
      <c r="K310" s="151" t="str">
        <f t="shared" si="9"/>
        <v/>
      </c>
      <c r="L310" s="44"/>
    </row>
    <row r="311" spans="2:12" s="46" customFormat="1" ht="14.25" customHeight="1">
      <c r="B311" s="38"/>
      <c r="C311" s="44"/>
      <c r="D311" s="137"/>
      <c r="E311" s="137"/>
      <c r="F311" s="137"/>
      <c r="G311" s="327"/>
      <c r="H311" s="263"/>
      <c r="I311" s="45"/>
      <c r="J311" s="149" t="str">
        <f t="shared" si="8"/>
        <v/>
      </c>
      <c r="K311" s="151" t="str">
        <f t="shared" si="9"/>
        <v/>
      </c>
      <c r="L311" s="44"/>
    </row>
    <row r="312" spans="2:12" s="46" customFormat="1" ht="14.25" customHeight="1">
      <c r="B312" s="38"/>
      <c r="C312" s="44"/>
      <c r="D312" s="137"/>
      <c r="E312" s="137"/>
      <c r="F312" s="137"/>
      <c r="G312" s="327"/>
      <c r="H312" s="263"/>
      <c r="I312" s="45"/>
      <c r="J312" s="149" t="str">
        <f t="shared" si="8"/>
        <v/>
      </c>
      <c r="K312" s="151" t="str">
        <f t="shared" si="9"/>
        <v/>
      </c>
      <c r="L312" s="44"/>
    </row>
    <row r="313" spans="2:12" s="46" customFormat="1" ht="14.25" customHeight="1">
      <c r="B313" s="38"/>
      <c r="C313" s="44"/>
      <c r="D313" s="137"/>
      <c r="E313" s="137"/>
      <c r="F313" s="137"/>
      <c r="G313" s="327"/>
      <c r="H313" s="263"/>
      <c r="I313" s="45"/>
      <c r="J313" s="149" t="str">
        <f t="shared" si="8"/>
        <v/>
      </c>
      <c r="K313" s="151" t="str">
        <f t="shared" si="9"/>
        <v/>
      </c>
      <c r="L313" s="44"/>
    </row>
    <row r="314" spans="2:12" s="46" customFormat="1" ht="14.25" customHeight="1">
      <c r="B314" s="38"/>
      <c r="C314" s="44"/>
      <c r="D314" s="137"/>
      <c r="E314" s="137"/>
      <c r="F314" s="137"/>
      <c r="G314" s="327"/>
      <c r="H314" s="263"/>
      <c r="I314" s="45"/>
      <c r="J314" s="149" t="str">
        <f t="shared" si="8"/>
        <v/>
      </c>
      <c r="K314" s="151" t="str">
        <f t="shared" si="9"/>
        <v/>
      </c>
      <c r="L314" s="44"/>
    </row>
    <row r="315" spans="2:12" s="46" customFormat="1" ht="14.25" customHeight="1">
      <c r="B315" s="38"/>
      <c r="C315" s="44"/>
      <c r="D315" s="137"/>
      <c r="E315" s="137"/>
      <c r="F315" s="137"/>
      <c r="G315" s="327"/>
      <c r="H315" s="263"/>
      <c r="I315" s="45"/>
      <c r="J315" s="149" t="str">
        <f t="shared" si="8"/>
        <v/>
      </c>
      <c r="K315" s="151" t="str">
        <f t="shared" si="9"/>
        <v/>
      </c>
      <c r="L315" s="44"/>
    </row>
    <row r="316" spans="2:12" s="46" customFormat="1" ht="14.25" customHeight="1">
      <c r="B316" s="38"/>
      <c r="C316" s="44"/>
      <c r="D316" s="137"/>
      <c r="E316" s="137"/>
      <c r="F316" s="137"/>
      <c r="G316" s="327"/>
      <c r="H316" s="263"/>
      <c r="I316" s="45"/>
      <c r="J316" s="149" t="str">
        <f t="shared" si="8"/>
        <v/>
      </c>
      <c r="K316" s="151" t="str">
        <f t="shared" si="9"/>
        <v/>
      </c>
      <c r="L316" s="44"/>
    </row>
    <row r="317" spans="2:12" s="46" customFormat="1" ht="14.25" customHeight="1">
      <c r="B317" s="38"/>
      <c r="C317" s="44"/>
      <c r="D317" s="137"/>
      <c r="E317" s="137"/>
      <c r="F317" s="137"/>
      <c r="G317" s="327"/>
      <c r="H317" s="263"/>
      <c r="I317" s="45"/>
      <c r="J317" s="149" t="str">
        <f t="shared" si="8"/>
        <v/>
      </c>
      <c r="K317" s="151" t="str">
        <f t="shared" si="9"/>
        <v/>
      </c>
      <c r="L317" s="44"/>
    </row>
    <row r="318" spans="2:12" s="46" customFormat="1" ht="14.25" customHeight="1">
      <c r="B318" s="38"/>
      <c r="C318" s="44"/>
      <c r="D318" s="137"/>
      <c r="E318" s="137"/>
      <c r="F318" s="137"/>
      <c r="G318" s="327"/>
      <c r="H318" s="263"/>
      <c r="I318" s="45"/>
      <c r="J318" s="149" t="str">
        <f t="shared" si="8"/>
        <v/>
      </c>
      <c r="K318" s="151" t="str">
        <f t="shared" si="9"/>
        <v/>
      </c>
      <c r="L318" s="44"/>
    </row>
    <row r="319" spans="2:12" s="46" customFormat="1" ht="14.25" customHeight="1">
      <c r="B319" s="38"/>
      <c r="C319" s="44"/>
      <c r="D319" s="137"/>
      <c r="E319" s="137"/>
      <c r="F319" s="137"/>
      <c r="G319" s="327"/>
      <c r="H319" s="263"/>
      <c r="I319" s="45"/>
      <c r="J319" s="149" t="str">
        <f t="shared" si="8"/>
        <v/>
      </c>
      <c r="K319" s="151" t="str">
        <f t="shared" si="9"/>
        <v/>
      </c>
      <c r="L319" s="44"/>
    </row>
    <row r="320" spans="2:12" s="46" customFormat="1" ht="14.25" customHeight="1">
      <c r="B320" s="38"/>
      <c r="C320" s="44"/>
      <c r="D320" s="137"/>
      <c r="E320" s="137"/>
      <c r="F320" s="137"/>
      <c r="G320" s="327"/>
      <c r="H320" s="263"/>
      <c r="I320" s="45"/>
      <c r="J320" s="149" t="str">
        <f t="shared" si="8"/>
        <v/>
      </c>
      <c r="K320" s="151" t="str">
        <f t="shared" si="9"/>
        <v/>
      </c>
      <c r="L320" s="44"/>
    </row>
    <row r="321" spans="2:12" s="46" customFormat="1" ht="14.25" customHeight="1">
      <c r="B321" s="38"/>
      <c r="C321" s="44"/>
      <c r="D321" s="137"/>
      <c r="E321" s="137"/>
      <c r="F321" s="137"/>
      <c r="G321" s="327"/>
      <c r="H321" s="263"/>
      <c r="I321" s="45"/>
      <c r="J321" s="149" t="str">
        <f t="shared" si="8"/>
        <v/>
      </c>
      <c r="K321" s="151" t="str">
        <f t="shared" si="9"/>
        <v/>
      </c>
      <c r="L321" s="44"/>
    </row>
    <row r="322" spans="2:12" s="46" customFormat="1" ht="14.25" customHeight="1">
      <c r="B322" s="38"/>
      <c r="C322" s="44"/>
      <c r="D322" s="137"/>
      <c r="E322" s="137"/>
      <c r="F322" s="137"/>
      <c r="G322" s="327"/>
      <c r="H322" s="263"/>
      <c r="I322" s="45"/>
      <c r="J322" s="149" t="str">
        <f t="shared" si="8"/>
        <v/>
      </c>
      <c r="K322" s="151" t="str">
        <f t="shared" si="9"/>
        <v/>
      </c>
      <c r="L322" s="44"/>
    </row>
    <row r="323" spans="2:12" s="46" customFormat="1" ht="14.25" customHeight="1">
      <c r="B323" s="38"/>
      <c r="C323" s="44"/>
      <c r="D323" s="137"/>
      <c r="E323" s="137"/>
      <c r="F323" s="137"/>
      <c r="G323" s="327"/>
      <c r="H323" s="263"/>
      <c r="I323" s="47"/>
      <c r="J323" s="149" t="str">
        <f t="shared" si="8"/>
        <v/>
      </c>
      <c r="K323" s="151" t="str">
        <f t="shared" si="9"/>
        <v/>
      </c>
      <c r="L323" s="44"/>
    </row>
    <row r="324" spans="2:12" s="46" customFormat="1" ht="14.25" customHeight="1">
      <c r="B324" s="38"/>
      <c r="C324" s="44"/>
      <c r="D324" s="137"/>
      <c r="E324" s="137"/>
      <c r="F324" s="137"/>
      <c r="G324" s="327"/>
      <c r="H324" s="263"/>
      <c r="I324" s="47"/>
      <c r="J324" s="149" t="str">
        <f t="shared" si="8"/>
        <v/>
      </c>
      <c r="K324" s="151" t="str">
        <f t="shared" si="9"/>
        <v/>
      </c>
      <c r="L324" s="44"/>
    </row>
    <row r="325" spans="2:12" s="46" customFormat="1" ht="14.25" customHeight="1">
      <c r="B325" s="38"/>
      <c r="C325" s="44"/>
      <c r="D325" s="137"/>
      <c r="E325" s="137"/>
      <c r="F325" s="137"/>
      <c r="G325" s="327"/>
      <c r="H325" s="263"/>
      <c r="I325" s="45"/>
      <c r="J325" s="149" t="str">
        <f t="shared" si="8"/>
        <v/>
      </c>
      <c r="K325" s="151" t="str">
        <f t="shared" si="9"/>
        <v/>
      </c>
      <c r="L325" s="44"/>
    </row>
    <row r="326" spans="2:12" s="46" customFormat="1" ht="14.25" customHeight="1">
      <c r="B326" s="38"/>
      <c r="C326" s="44"/>
      <c r="D326" s="137"/>
      <c r="E326" s="137"/>
      <c r="F326" s="137"/>
      <c r="G326" s="327"/>
      <c r="H326" s="263"/>
      <c r="I326" s="45"/>
      <c r="J326" s="149" t="str">
        <f t="shared" si="8"/>
        <v/>
      </c>
      <c r="K326" s="151" t="str">
        <f t="shared" si="9"/>
        <v/>
      </c>
      <c r="L326" s="44"/>
    </row>
    <row r="327" spans="2:12" s="46" customFormat="1" ht="14.25" customHeight="1">
      <c r="B327" s="38"/>
      <c r="C327" s="44"/>
      <c r="D327" s="137"/>
      <c r="E327" s="137"/>
      <c r="F327" s="137"/>
      <c r="G327" s="327"/>
      <c r="H327" s="263"/>
      <c r="I327" s="45"/>
      <c r="J327" s="149" t="str">
        <f t="shared" si="8"/>
        <v/>
      </c>
      <c r="K327" s="151" t="str">
        <f t="shared" si="9"/>
        <v/>
      </c>
      <c r="L327" s="44"/>
    </row>
    <row r="328" spans="2:12" s="46" customFormat="1" ht="14.25" customHeight="1">
      <c r="B328" s="38"/>
      <c r="C328" s="44"/>
      <c r="D328" s="137"/>
      <c r="E328" s="137"/>
      <c r="F328" s="137"/>
      <c r="G328" s="327"/>
      <c r="H328" s="263"/>
      <c r="I328" s="45"/>
      <c r="J328" s="149" t="str">
        <f t="shared" si="8"/>
        <v/>
      </c>
      <c r="K328" s="151" t="str">
        <f t="shared" si="9"/>
        <v/>
      </c>
      <c r="L328" s="44"/>
    </row>
    <row r="329" spans="2:12" s="46" customFormat="1" ht="14.25" customHeight="1">
      <c r="B329" s="38"/>
      <c r="C329" s="44"/>
      <c r="D329" s="137"/>
      <c r="E329" s="137"/>
      <c r="F329" s="137"/>
      <c r="G329" s="327"/>
      <c r="H329" s="263"/>
      <c r="I329" s="45"/>
      <c r="J329" s="149" t="str">
        <f t="shared" si="8"/>
        <v/>
      </c>
      <c r="K329" s="151" t="str">
        <f t="shared" si="9"/>
        <v/>
      </c>
      <c r="L329" s="44"/>
    </row>
    <row r="330" spans="2:12" s="46" customFormat="1" ht="14.25" customHeight="1">
      <c r="B330" s="38"/>
      <c r="C330" s="44"/>
      <c r="D330" s="137"/>
      <c r="E330" s="137"/>
      <c r="F330" s="137"/>
      <c r="G330" s="327"/>
      <c r="H330" s="263"/>
      <c r="I330" s="45"/>
      <c r="J330" s="149" t="str">
        <f t="shared" si="8"/>
        <v/>
      </c>
      <c r="K330" s="151" t="str">
        <f t="shared" si="9"/>
        <v/>
      </c>
      <c r="L330" s="44"/>
    </row>
    <row r="331" spans="2:12" s="46" customFormat="1" ht="14.25" customHeight="1">
      <c r="B331" s="38"/>
      <c r="C331" s="44"/>
      <c r="D331" s="137"/>
      <c r="E331" s="137"/>
      <c r="F331" s="137"/>
      <c r="G331" s="327"/>
      <c r="H331" s="263"/>
      <c r="I331" s="45"/>
      <c r="J331" s="149" t="str">
        <f t="shared" ref="J331:J394" si="10">IF($C331&lt;&gt;"",$E331*1.5,"")</f>
        <v/>
      </c>
      <c r="K331" s="151" t="str">
        <f t="shared" ref="K331:K394" si="11">IFERROR($J331/10,"")</f>
        <v/>
      </c>
      <c r="L331" s="44"/>
    </row>
    <row r="332" spans="2:12" s="46" customFormat="1" ht="14.25" customHeight="1">
      <c r="B332" s="38"/>
      <c r="C332" s="44"/>
      <c r="D332" s="137"/>
      <c r="E332" s="137"/>
      <c r="F332" s="137"/>
      <c r="G332" s="327"/>
      <c r="H332" s="263"/>
      <c r="I332" s="45"/>
      <c r="J332" s="149" t="str">
        <f t="shared" si="10"/>
        <v/>
      </c>
      <c r="K332" s="151" t="str">
        <f t="shared" si="11"/>
        <v/>
      </c>
      <c r="L332" s="44"/>
    </row>
    <row r="333" spans="2:12" s="46" customFormat="1" ht="14.25" customHeight="1">
      <c r="B333" s="38"/>
      <c r="C333" s="44"/>
      <c r="D333" s="137"/>
      <c r="E333" s="137"/>
      <c r="F333" s="137"/>
      <c r="G333" s="327"/>
      <c r="H333" s="263"/>
      <c r="I333" s="45"/>
      <c r="J333" s="149" t="str">
        <f t="shared" si="10"/>
        <v/>
      </c>
      <c r="K333" s="151" t="str">
        <f t="shared" si="11"/>
        <v/>
      </c>
      <c r="L333" s="44"/>
    </row>
    <row r="334" spans="2:12" s="46" customFormat="1" ht="14.25" customHeight="1">
      <c r="B334" s="38"/>
      <c r="C334" s="44"/>
      <c r="D334" s="137"/>
      <c r="E334" s="137"/>
      <c r="F334" s="137"/>
      <c r="G334" s="327"/>
      <c r="H334" s="263"/>
      <c r="I334" s="45"/>
      <c r="J334" s="149" t="str">
        <f t="shared" si="10"/>
        <v/>
      </c>
      <c r="K334" s="151" t="str">
        <f t="shared" si="11"/>
        <v/>
      </c>
      <c r="L334" s="44"/>
    </row>
    <row r="335" spans="2:12" s="46" customFormat="1" ht="14.25" customHeight="1">
      <c r="B335" s="38"/>
      <c r="C335" s="44"/>
      <c r="D335" s="137"/>
      <c r="E335" s="137"/>
      <c r="F335" s="137"/>
      <c r="G335" s="327"/>
      <c r="H335" s="263"/>
      <c r="I335" s="45"/>
      <c r="J335" s="149" t="str">
        <f t="shared" si="10"/>
        <v/>
      </c>
      <c r="K335" s="151" t="str">
        <f t="shared" si="11"/>
        <v/>
      </c>
      <c r="L335" s="44"/>
    </row>
    <row r="336" spans="2:12" s="46" customFormat="1" ht="14.25" customHeight="1">
      <c r="B336" s="38"/>
      <c r="C336" s="44"/>
      <c r="D336" s="137"/>
      <c r="E336" s="137"/>
      <c r="F336" s="137"/>
      <c r="G336" s="327"/>
      <c r="H336" s="263"/>
      <c r="I336" s="45"/>
      <c r="J336" s="149" t="str">
        <f t="shared" si="10"/>
        <v/>
      </c>
      <c r="K336" s="151" t="str">
        <f t="shared" si="11"/>
        <v/>
      </c>
      <c r="L336" s="44"/>
    </row>
    <row r="337" spans="2:12" s="46" customFormat="1" ht="14.25" customHeight="1">
      <c r="B337" s="38"/>
      <c r="C337" s="44"/>
      <c r="D337" s="137"/>
      <c r="E337" s="137"/>
      <c r="F337" s="137"/>
      <c r="G337" s="327"/>
      <c r="H337" s="263"/>
      <c r="I337" s="45"/>
      <c r="J337" s="149" t="str">
        <f t="shared" si="10"/>
        <v/>
      </c>
      <c r="K337" s="151" t="str">
        <f t="shared" si="11"/>
        <v/>
      </c>
      <c r="L337" s="44"/>
    </row>
    <row r="338" spans="2:12" s="46" customFormat="1" ht="14.25" customHeight="1">
      <c r="B338" s="38"/>
      <c r="C338" s="44"/>
      <c r="D338" s="137"/>
      <c r="E338" s="137"/>
      <c r="F338" s="137"/>
      <c r="G338" s="327"/>
      <c r="H338" s="263"/>
      <c r="I338" s="45"/>
      <c r="J338" s="149" t="str">
        <f t="shared" si="10"/>
        <v/>
      </c>
      <c r="K338" s="151" t="str">
        <f t="shared" si="11"/>
        <v/>
      </c>
      <c r="L338" s="44"/>
    </row>
    <row r="339" spans="2:12" s="46" customFormat="1" ht="14.25" customHeight="1">
      <c r="B339" s="38"/>
      <c r="C339" s="44"/>
      <c r="D339" s="137"/>
      <c r="E339" s="137"/>
      <c r="F339" s="137"/>
      <c r="G339" s="327"/>
      <c r="H339" s="263"/>
      <c r="I339" s="45"/>
      <c r="J339" s="149" t="str">
        <f t="shared" si="10"/>
        <v/>
      </c>
      <c r="K339" s="151" t="str">
        <f t="shared" si="11"/>
        <v/>
      </c>
      <c r="L339" s="44"/>
    </row>
    <row r="340" spans="2:12" s="46" customFormat="1" ht="14.25" customHeight="1">
      <c r="B340" s="38"/>
      <c r="C340" s="44"/>
      <c r="D340" s="137"/>
      <c r="E340" s="137"/>
      <c r="F340" s="137"/>
      <c r="G340" s="327"/>
      <c r="H340" s="263"/>
      <c r="I340" s="45"/>
      <c r="J340" s="149" t="str">
        <f t="shared" si="10"/>
        <v/>
      </c>
      <c r="K340" s="151" t="str">
        <f t="shared" si="11"/>
        <v/>
      </c>
      <c r="L340" s="44"/>
    </row>
    <row r="341" spans="2:12" s="46" customFormat="1" ht="14.25" customHeight="1">
      <c r="B341" s="38"/>
      <c r="C341" s="44"/>
      <c r="D341" s="137"/>
      <c r="E341" s="137"/>
      <c r="F341" s="137"/>
      <c r="G341" s="327"/>
      <c r="H341" s="263"/>
      <c r="I341" s="45"/>
      <c r="J341" s="149" t="str">
        <f t="shared" si="10"/>
        <v/>
      </c>
      <c r="K341" s="151" t="str">
        <f t="shared" si="11"/>
        <v/>
      </c>
      <c r="L341" s="44"/>
    </row>
    <row r="342" spans="2:12" s="46" customFormat="1" ht="14.25" customHeight="1">
      <c r="B342" s="38"/>
      <c r="C342" s="44"/>
      <c r="D342" s="137"/>
      <c r="E342" s="137"/>
      <c r="F342" s="137"/>
      <c r="G342" s="327"/>
      <c r="H342" s="263"/>
      <c r="I342" s="45"/>
      <c r="J342" s="149" t="str">
        <f t="shared" si="10"/>
        <v/>
      </c>
      <c r="K342" s="151" t="str">
        <f t="shared" si="11"/>
        <v/>
      </c>
      <c r="L342" s="44"/>
    </row>
    <row r="343" spans="2:12" s="46" customFormat="1" ht="14.25" customHeight="1">
      <c r="B343" s="38"/>
      <c r="C343" s="44"/>
      <c r="D343" s="137"/>
      <c r="E343" s="137"/>
      <c r="F343" s="137"/>
      <c r="G343" s="327"/>
      <c r="H343" s="263"/>
      <c r="I343" s="45"/>
      <c r="J343" s="149" t="str">
        <f t="shared" si="10"/>
        <v/>
      </c>
      <c r="K343" s="151" t="str">
        <f t="shared" si="11"/>
        <v/>
      </c>
      <c r="L343" s="44"/>
    </row>
    <row r="344" spans="2:12" s="46" customFormat="1" ht="14.25" customHeight="1">
      <c r="B344" s="38"/>
      <c r="C344" s="44"/>
      <c r="D344" s="137"/>
      <c r="E344" s="137"/>
      <c r="F344" s="137"/>
      <c r="G344" s="327"/>
      <c r="H344" s="263"/>
      <c r="I344" s="45"/>
      <c r="J344" s="149" t="str">
        <f t="shared" si="10"/>
        <v/>
      </c>
      <c r="K344" s="151" t="str">
        <f t="shared" si="11"/>
        <v/>
      </c>
      <c r="L344" s="44"/>
    </row>
    <row r="345" spans="2:12" s="46" customFormat="1" ht="14.25" customHeight="1">
      <c r="B345" s="38"/>
      <c r="C345" s="44"/>
      <c r="D345" s="137"/>
      <c r="E345" s="137"/>
      <c r="F345" s="137"/>
      <c r="G345" s="327"/>
      <c r="H345" s="263"/>
      <c r="I345" s="45"/>
      <c r="J345" s="149" t="str">
        <f t="shared" si="10"/>
        <v/>
      </c>
      <c r="K345" s="151" t="str">
        <f t="shared" si="11"/>
        <v/>
      </c>
      <c r="L345" s="44"/>
    </row>
    <row r="346" spans="2:12" s="46" customFormat="1" ht="14.25" customHeight="1">
      <c r="B346" s="38"/>
      <c r="C346" s="44"/>
      <c r="D346" s="137"/>
      <c r="E346" s="137"/>
      <c r="F346" s="137"/>
      <c r="G346" s="327"/>
      <c r="H346" s="263"/>
      <c r="I346" s="45"/>
      <c r="J346" s="149" t="str">
        <f t="shared" si="10"/>
        <v/>
      </c>
      <c r="K346" s="151" t="str">
        <f t="shared" si="11"/>
        <v/>
      </c>
      <c r="L346" s="44"/>
    </row>
    <row r="347" spans="2:12" s="46" customFormat="1" ht="14.25" customHeight="1">
      <c r="B347" s="38"/>
      <c r="C347" s="44"/>
      <c r="D347" s="137"/>
      <c r="E347" s="137"/>
      <c r="F347" s="137"/>
      <c r="G347" s="327"/>
      <c r="H347" s="263"/>
      <c r="I347" s="45"/>
      <c r="J347" s="149" t="str">
        <f t="shared" si="10"/>
        <v/>
      </c>
      <c r="K347" s="151" t="str">
        <f t="shared" si="11"/>
        <v/>
      </c>
      <c r="L347" s="44"/>
    </row>
    <row r="348" spans="2:12" s="46" customFormat="1" ht="14.25" customHeight="1">
      <c r="B348" s="38"/>
      <c r="C348" s="44"/>
      <c r="D348" s="137"/>
      <c r="E348" s="137"/>
      <c r="F348" s="137"/>
      <c r="G348" s="327"/>
      <c r="H348" s="263"/>
      <c r="I348" s="45"/>
      <c r="J348" s="149" t="str">
        <f t="shared" si="10"/>
        <v/>
      </c>
      <c r="K348" s="151" t="str">
        <f t="shared" si="11"/>
        <v/>
      </c>
      <c r="L348" s="44"/>
    </row>
    <row r="349" spans="2:12" s="46" customFormat="1" ht="14.25" customHeight="1">
      <c r="B349" s="38"/>
      <c r="C349" s="44"/>
      <c r="D349" s="137"/>
      <c r="E349" s="137"/>
      <c r="F349" s="137"/>
      <c r="G349" s="327"/>
      <c r="H349" s="263"/>
      <c r="I349" s="45"/>
      <c r="J349" s="149" t="str">
        <f t="shared" si="10"/>
        <v/>
      </c>
      <c r="K349" s="151" t="str">
        <f t="shared" si="11"/>
        <v/>
      </c>
      <c r="L349" s="44"/>
    </row>
    <row r="350" spans="2:12" s="46" customFormat="1" ht="14.25" customHeight="1">
      <c r="B350" s="38"/>
      <c r="C350" s="44"/>
      <c r="D350" s="137"/>
      <c r="E350" s="137"/>
      <c r="F350" s="137"/>
      <c r="G350" s="327"/>
      <c r="H350" s="263"/>
      <c r="I350" s="45"/>
      <c r="J350" s="149" t="str">
        <f t="shared" si="10"/>
        <v/>
      </c>
      <c r="K350" s="151" t="str">
        <f t="shared" si="11"/>
        <v/>
      </c>
      <c r="L350" s="44"/>
    </row>
    <row r="351" spans="2:12" s="46" customFormat="1" ht="14.25" customHeight="1">
      <c r="B351" s="38"/>
      <c r="C351" s="44"/>
      <c r="D351" s="137"/>
      <c r="E351" s="137"/>
      <c r="F351" s="137"/>
      <c r="G351" s="327"/>
      <c r="H351" s="263"/>
      <c r="I351" s="45"/>
      <c r="J351" s="149" t="str">
        <f t="shared" si="10"/>
        <v/>
      </c>
      <c r="K351" s="151" t="str">
        <f t="shared" si="11"/>
        <v/>
      </c>
      <c r="L351" s="44"/>
    </row>
    <row r="352" spans="2:12" s="46" customFormat="1" ht="14.25" customHeight="1">
      <c r="B352" s="38"/>
      <c r="C352" s="44"/>
      <c r="D352" s="137"/>
      <c r="E352" s="137"/>
      <c r="F352" s="137"/>
      <c r="G352" s="327"/>
      <c r="H352" s="263"/>
      <c r="I352" s="45"/>
      <c r="J352" s="149" t="str">
        <f t="shared" si="10"/>
        <v/>
      </c>
      <c r="K352" s="151" t="str">
        <f t="shared" si="11"/>
        <v/>
      </c>
      <c r="L352" s="44"/>
    </row>
    <row r="353" spans="2:12" s="46" customFormat="1" ht="14.25" customHeight="1">
      <c r="B353" s="38"/>
      <c r="C353" s="44"/>
      <c r="D353" s="137"/>
      <c r="E353" s="137"/>
      <c r="F353" s="137"/>
      <c r="G353" s="327"/>
      <c r="H353" s="263"/>
      <c r="I353" s="45"/>
      <c r="J353" s="149" t="str">
        <f t="shared" si="10"/>
        <v/>
      </c>
      <c r="K353" s="151" t="str">
        <f t="shared" si="11"/>
        <v/>
      </c>
      <c r="L353" s="44"/>
    </row>
    <row r="354" spans="2:12" s="46" customFormat="1" ht="14.25" customHeight="1">
      <c r="B354" s="38"/>
      <c r="C354" s="44"/>
      <c r="D354" s="137"/>
      <c r="E354" s="137"/>
      <c r="F354" s="137"/>
      <c r="G354" s="327"/>
      <c r="H354" s="263"/>
      <c r="I354" s="45"/>
      <c r="J354" s="149" t="str">
        <f t="shared" si="10"/>
        <v/>
      </c>
      <c r="K354" s="151" t="str">
        <f t="shared" si="11"/>
        <v/>
      </c>
      <c r="L354" s="44"/>
    </row>
    <row r="355" spans="2:12" s="46" customFormat="1" ht="14.25" customHeight="1">
      <c r="B355" s="38"/>
      <c r="C355" s="44"/>
      <c r="D355" s="137"/>
      <c r="E355" s="137"/>
      <c r="F355" s="137"/>
      <c r="G355" s="327"/>
      <c r="H355" s="263"/>
      <c r="I355" s="45"/>
      <c r="J355" s="149" t="str">
        <f t="shared" si="10"/>
        <v/>
      </c>
      <c r="K355" s="151" t="str">
        <f t="shared" si="11"/>
        <v/>
      </c>
      <c r="L355" s="44"/>
    </row>
    <row r="356" spans="2:12" s="46" customFormat="1" ht="14.25" customHeight="1">
      <c r="B356" s="38"/>
      <c r="C356" s="44"/>
      <c r="D356" s="137"/>
      <c r="E356" s="137"/>
      <c r="F356" s="137"/>
      <c r="G356" s="327"/>
      <c r="H356" s="263"/>
      <c r="I356" s="45"/>
      <c r="J356" s="149" t="str">
        <f t="shared" si="10"/>
        <v/>
      </c>
      <c r="K356" s="151" t="str">
        <f t="shared" si="11"/>
        <v/>
      </c>
      <c r="L356" s="44"/>
    </row>
    <row r="357" spans="2:12" s="46" customFormat="1" ht="14.25" customHeight="1">
      <c r="B357" s="38"/>
      <c r="C357" s="44"/>
      <c r="D357" s="137"/>
      <c r="E357" s="137"/>
      <c r="F357" s="137"/>
      <c r="G357" s="327"/>
      <c r="H357" s="263"/>
      <c r="I357" s="45"/>
      <c r="J357" s="149" t="str">
        <f t="shared" si="10"/>
        <v/>
      </c>
      <c r="K357" s="151" t="str">
        <f t="shared" si="11"/>
        <v/>
      </c>
      <c r="L357" s="44"/>
    </row>
    <row r="358" spans="2:12" s="46" customFormat="1" ht="14.25" customHeight="1">
      <c r="B358" s="38"/>
      <c r="C358" s="44"/>
      <c r="D358" s="137"/>
      <c r="E358" s="137"/>
      <c r="F358" s="137"/>
      <c r="G358" s="327"/>
      <c r="H358" s="263"/>
      <c r="I358" s="45"/>
      <c r="J358" s="149" t="str">
        <f t="shared" si="10"/>
        <v/>
      </c>
      <c r="K358" s="151" t="str">
        <f t="shared" si="11"/>
        <v/>
      </c>
      <c r="L358" s="44"/>
    </row>
    <row r="359" spans="2:12" s="46" customFormat="1" ht="14.25" customHeight="1">
      <c r="B359" s="38"/>
      <c r="C359" s="44"/>
      <c r="D359" s="137"/>
      <c r="E359" s="137"/>
      <c r="F359" s="137"/>
      <c r="G359" s="327"/>
      <c r="H359" s="263"/>
      <c r="I359" s="45"/>
      <c r="J359" s="149" t="str">
        <f t="shared" si="10"/>
        <v/>
      </c>
      <c r="K359" s="151" t="str">
        <f t="shared" si="11"/>
        <v/>
      </c>
      <c r="L359" s="44"/>
    </row>
    <row r="360" spans="2:12" s="46" customFormat="1" ht="14.25" customHeight="1">
      <c r="B360" s="38"/>
      <c r="C360" s="44"/>
      <c r="D360" s="137"/>
      <c r="E360" s="137"/>
      <c r="F360" s="137"/>
      <c r="G360" s="327"/>
      <c r="H360" s="263"/>
      <c r="I360" s="45"/>
      <c r="J360" s="149" t="str">
        <f t="shared" si="10"/>
        <v/>
      </c>
      <c r="K360" s="151" t="str">
        <f t="shared" si="11"/>
        <v/>
      </c>
      <c r="L360" s="44"/>
    </row>
    <row r="361" spans="2:12" s="46" customFormat="1" ht="14.25" customHeight="1">
      <c r="B361" s="38"/>
      <c r="C361" s="44"/>
      <c r="D361" s="137"/>
      <c r="E361" s="137"/>
      <c r="F361" s="137"/>
      <c r="G361" s="327"/>
      <c r="H361" s="263"/>
      <c r="I361" s="45"/>
      <c r="J361" s="149" t="str">
        <f t="shared" si="10"/>
        <v/>
      </c>
      <c r="K361" s="151" t="str">
        <f t="shared" si="11"/>
        <v/>
      </c>
      <c r="L361" s="44"/>
    </row>
    <row r="362" spans="2:12" s="46" customFormat="1" ht="14.25" customHeight="1">
      <c r="B362" s="38"/>
      <c r="C362" s="44"/>
      <c r="D362" s="137"/>
      <c r="E362" s="137"/>
      <c r="F362" s="137"/>
      <c r="G362" s="327"/>
      <c r="H362" s="263"/>
      <c r="I362" s="45"/>
      <c r="J362" s="149" t="str">
        <f t="shared" si="10"/>
        <v/>
      </c>
      <c r="K362" s="151" t="str">
        <f t="shared" si="11"/>
        <v/>
      </c>
      <c r="L362" s="44"/>
    </row>
    <row r="363" spans="2:12" s="46" customFormat="1" ht="14.25" customHeight="1">
      <c r="B363" s="38"/>
      <c r="C363" s="44"/>
      <c r="D363" s="137"/>
      <c r="E363" s="137"/>
      <c r="F363" s="137"/>
      <c r="G363" s="327"/>
      <c r="H363" s="263"/>
      <c r="I363" s="45"/>
      <c r="J363" s="149" t="str">
        <f t="shared" si="10"/>
        <v/>
      </c>
      <c r="K363" s="151" t="str">
        <f t="shared" si="11"/>
        <v/>
      </c>
      <c r="L363" s="44"/>
    </row>
    <row r="364" spans="2:12" s="46" customFormat="1" ht="14.25" customHeight="1">
      <c r="B364" s="38"/>
      <c r="C364" s="44"/>
      <c r="D364" s="137"/>
      <c r="E364" s="137"/>
      <c r="F364" s="137"/>
      <c r="G364" s="327"/>
      <c r="H364" s="263"/>
      <c r="I364" s="45"/>
      <c r="J364" s="149" t="str">
        <f t="shared" si="10"/>
        <v/>
      </c>
      <c r="K364" s="151" t="str">
        <f t="shared" si="11"/>
        <v/>
      </c>
      <c r="L364" s="44"/>
    </row>
    <row r="365" spans="2:12" s="46" customFormat="1" ht="14.25" customHeight="1">
      <c r="B365" s="38"/>
      <c r="C365" s="44"/>
      <c r="D365" s="137"/>
      <c r="E365" s="137"/>
      <c r="F365" s="137"/>
      <c r="G365" s="327"/>
      <c r="H365" s="263"/>
      <c r="I365" s="45"/>
      <c r="J365" s="149" t="str">
        <f t="shared" si="10"/>
        <v/>
      </c>
      <c r="K365" s="151" t="str">
        <f t="shared" si="11"/>
        <v/>
      </c>
      <c r="L365" s="44"/>
    </row>
    <row r="366" spans="2:12" s="46" customFormat="1" ht="14.25" customHeight="1">
      <c r="B366" s="38"/>
      <c r="C366" s="44"/>
      <c r="D366" s="137"/>
      <c r="E366" s="137"/>
      <c r="F366" s="137"/>
      <c r="G366" s="327"/>
      <c r="H366" s="263"/>
      <c r="I366" s="45"/>
      <c r="J366" s="149" t="str">
        <f t="shared" si="10"/>
        <v/>
      </c>
      <c r="K366" s="151" t="str">
        <f t="shared" si="11"/>
        <v/>
      </c>
      <c r="L366" s="44"/>
    </row>
    <row r="367" spans="2:12" s="46" customFormat="1" ht="14.25" customHeight="1">
      <c r="B367" s="38"/>
      <c r="C367" s="44"/>
      <c r="D367" s="137"/>
      <c r="E367" s="137"/>
      <c r="F367" s="137"/>
      <c r="G367" s="327"/>
      <c r="H367" s="263"/>
      <c r="I367" s="45"/>
      <c r="J367" s="149" t="str">
        <f t="shared" si="10"/>
        <v/>
      </c>
      <c r="K367" s="151" t="str">
        <f t="shared" si="11"/>
        <v/>
      </c>
      <c r="L367" s="44"/>
    </row>
    <row r="368" spans="2:12" s="46" customFormat="1" ht="14.25" customHeight="1">
      <c r="B368" s="38"/>
      <c r="C368" s="44"/>
      <c r="D368" s="137"/>
      <c r="E368" s="137"/>
      <c r="F368" s="137"/>
      <c r="G368" s="327"/>
      <c r="H368" s="263"/>
      <c r="I368" s="45"/>
      <c r="J368" s="149" t="str">
        <f t="shared" si="10"/>
        <v/>
      </c>
      <c r="K368" s="151" t="str">
        <f t="shared" si="11"/>
        <v/>
      </c>
      <c r="L368" s="44"/>
    </row>
    <row r="369" spans="2:12" s="46" customFormat="1" ht="14.25" customHeight="1">
      <c r="B369" s="38"/>
      <c r="C369" s="44"/>
      <c r="D369" s="137"/>
      <c r="E369" s="137"/>
      <c r="F369" s="137"/>
      <c r="G369" s="327"/>
      <c r="H369" s="263"/>
      <c r="I369" s="45"/>
      <c r="J369" s="149" t="str">
        <f t="shared" si="10"/>
        <v/>
      </c>
      <c r="K369" s="151" t="str">
        <f t="shared" si="11"/>
        <v/>
      </c>
      <c r="L369" s="44"/>
    </row>
    <row r="370" spans="2:12" s="46" customFormat="1" ht="14.25" customHeight="1">
      <c r="B370" s="38"/>
      <c r="C370" s="44"/>
      <c r="D370" s="137"/>
      <c r="E370" s="137"/>
      <c r="F370" s="137"/>
      <c r="G370" s="327"/>
      <c r="H370" s="263"/>
      <c r="I370" s="45"/>
      <c r="J370" s="149" t="str">
        <f t="shared" si="10"/>
        <v/>
      </c>
      <c r="K370" s="151" t="str">
        <f t="shared" si="11"/>
        <v/>
      </c>
      <c r="L370" s="44"/>
    </row>
    <row r="371" spans="2:12" s="46" customFormat="1" ht="14.25" customHeight="1">
      <c r="B371" s="38"/>
      <c r="C371" s="44"/>
      <c r="D371" s="137"/>
      <c r="E371" s="137"/>
      <c r="F371" s="137"/>
      <c r="G371" s="327"/>
      <c r="H371" s="263"/>
      <c r="I371" s="45"/>
      <c r="J371" s="149" t="str">
        <f t="shared" si="10"/>
        <v/>
      </c>
      <c r="K371" s="151" t="str">
        <f t="shared" si="11"/>
        <v/>
      </c>
      <c r="L371" s="44"/>
    </row>
    <row r="372" spans="2:12" s="46" customFormat="1" ht="14.25" customHeight="1">
      <c r="B372" s="38"/>
      <c r="C372" s="44"/>
      <c r="D372" s="137"/>
      <c r="E372" s="137"/>
      <c r="F372" s="137"/>
      <c r="G372" s="327"/>
      <c r="H372" s="263"/>
      <c r="I372" s="45"/>
      <c r="J372" s="149" t="str">
        <f t="shared" si="10"/>
        <v/>
      </c>
      <c r="K372" s="151" t="str">
        <f t="shared" si="11"/>
        <v/>
      </c>
      <c r="L372" s="44"/>
    </row>
    <row r="373" spans="2:12" s="46" customFormat="1" ht="14.25" customHeight="1">
      <c r="B373" s="38"/>
      <c r="C373" s="44"/>
      <c r="D373" s="137"/>
      <c r="E373" s="137"/>
      <c r="F373" s="137"/>
      <c r="G373" s="327"/>
      <c r="H373" s="263"/>
      <c r="I373" s="45"/>
      <c r="J373" s="149" t="str">
        <f t="shared" si="10"/>
        <v/>
      </c>
      <c r="K373" s="151" t="str">
        <f t="shared" si="11"/>
        <v/>
      </c>
      <c r="L373" s="44"/>
    </row>
    <row r="374" spans="2:12" s="46" customFormat="1" ht="14.25" customHeight="1">
      <c r="B374" s="38"/>
      <c r="C374" s="44"/>
      <c r="D374" s="137"/>
      <c r="E374" s="137"/>
      <c r="F374" s="137"/>
      <c r="G374" s="327"/>
      <c r="H374" s="263"/>
      <c r="I374" s="45"/>
      <c r="J374" s="149" t="str">
        <f t="shared" si="10"/>
        <v/>
      </c>
      <c r="K374" s="151" t="str">
        <f t="shared" si="11"/>
        <v/>
      </c>
      <c r="L374" s="44"/>
    </row>
    <row r="375" spans="2:12" s="46" customFormat="1" ht="14.25" customHeight="1">
      <c r="B375" s="38"/>
      <c r="C375" s="44"/>
      <c r="D375" s="137"/>
      <c r="E375" s="137"/>
      <c r="F375" s="137"/>
      <c r="G375" s="327"/>
      <c r="H375" s="263"/>
      <c r="I375" s="45"/>
      <c r="J375" s="149" t="str">
        <f t="shared" si="10"/>
        <v/>
      </c>
      <c r="K375" s="151" t="str">
        <f t="shared" si="11"/>
        <v/>
      </c>
      <c r="L375" s="44"/>
    </row>
    <row r="376" spans="2:12" s="46" customFormat="1" ht="14.25" customHeight="1">
      <c r="B376" s="38"/>
      <c r="C376" s="44"/>
      <c r="D376" s="137"/>
      <c r="E376" s="137"/>
      <c r="F376" s="137"/>
      <c r="G376" s="327"/>
      <c r="H376" s="263"/>
      <c r="I376" s="45"/>
      <c r="J376" s="149" t="str">
        <f t="shared" si="10"/>
        <v/>
      </c>
      <c r="K376" s="151" t="str">
        <f t="shared" si="11"/>
        <v/>
      </c>
      <c r="L376" s="44"/>
    </row>
    <row r="377" spans="2:12" s="46" customFormat="1" ht="14.25" customHeight="1">
      <c r="B377" s="38"/>
      <c r="C377" s="44"/>
      <c r="D377" s="137"/>
      <c r="E377" s="137"/>
      <c r="F377" s="137"/>
      <c r="G377" s="327"/>
      <c r="H377" s="263"/>
      <c r="I377" s="45"/>
      <c r="J377" s="149" t="str">
        <f t="shared" si="10"/>
        <v/>
      </c>
      <c r="K377" s="151" t="str">
        <f t="shared" si="11"/>
        <v/>
      </c>
      <c r="L377" s="44"/>
    </row>
    <row r="378" spans="2:12" s="46" customFormat="1" ht="14.25" customHeight="1">
      <c r="B378" s="38"/>
      <c r="C378" s="44"/>
      <c r="D378" s="137"/>
      <c r="E378" s="137"/>
      <c r="F378" s="137"/>
      <c r="G378" s="327"/>
      <c r="H378" s="263"/>
      <c r="I378" s="45"/>
      <c r="J378" s="149" t="str">
        <f t="shared" si="10"/>
        <v/>
      </c>
      <c r="K378" s="151" t="str">
        <f t="shared" si="11"/>
        <v/>
      </c>
      <c r="L378" s="44"/>
    </row>
    <row r="379" spans="2:12" s="46" customFormat="1" ht="14.25" customHeight="1">
      <c r="B379" s="38"/>
      <c r="C379" s="44"/>
      <c r="D379" s="137"/>
      <c r="E379" s="137"/>
      <c r="F379" s="137"/>
      <c r="G379" s="327"/>
      <c r="H379" s="263"/>
      <c r="I379" s="45"/>
      <c r="J379" s="149" t="str">
        <f t="shared" si="10"/>
        <v/>
      </c>
      <c r="K379" s="151" t="str">
        <f t="shared" si="11"/>
        <v/>
      </c>
      <c r="L379" s="44"/>
    </row>
    <row r="380" spans="2:12" s="46" customFormat="1" ht="14.25" customHeight="1">
      <c r="B380" s="38"/>
      <c r="C380" s="44"/>
      <c r="D380" s="137"/>
      <c r="E380" s="137"/>
      <c r="F380" s="137"/>
      <c r="G380" s="327"/>
      <c r="H380" s="263"/>
      <c r="I380" s="45"/>
      <c r="J380" s="149" t="str">
        <f t="shared" si="10"/>
        <v/>
      </c>
      <c r="K380" s="151" t="str">
        <f t="shared" si="11"/>
        <v/>
      </c>
      <c r="L380" s="44"/>
    </row>
    <row r="381" spans="2:12" s="46" customFormat="1" ht="14.25" customHeight="1">
      <c r="B381" s="38"/>
      <c r="C381" s="44"/>
      <c r="D381" s="137"/>
      <c r="E381" s="137"/>
      <c r="F381" s="137"/>
      <c r="G381" s="327"/>
      <c r="H381" s="263"/>
      <c r="I381" s="45"/>
      <c r="J381" s="149" t="str">
        <f t="shared" si="10"/>
        <v/>
      </c>
      <c r="K381" s="151" t="str">
        <f t="shared" si="11"/>
        <v/>
      </c>
      <c r="L381" s="44"/>
    </row>
    <row r="382" spans="2:12" s="46" customFormat="1" ht="14.25" customHeight="1">
      <c r="B382" s="38"/>
      <c r="C382" s="44"/>
      <c r="D382" s="137"/>
      <c r="E382" s="137"/>
      <c r="F382" s="137"/>
      <c r="G382" s="327"/>
      <c r="H382" s="263"/>
      <c r="I382" s="45"/>
      <c r="J382" s="149" t="str">
        <f t="shared" si="10"/>
        <v/>
      </c>
      <c r="K382" s="151" t="str">
        <f t="shared" si="11"/>
        <v/>
      </c>
      <c r="L382" s="44"/>
    </row>
    <row r="383" spans="2:12" s="46" customFormat="1" ht="14.25" customHeight="1">
      <c r="B383" s="38"/>
      <c r="C383" s="44"/>
      <c r="D383" s="137"/>
      <c r="E383" s="137"/>
      <c r="F383" s="137"/>
      <c r="G383" s="327"/>
      <c r="H383" s="263"/>
      <c r="I383" s="45"/>
      <c r="J383" s="149" t="str">
        <f t="shared" si="10"/>
        <v/>
      </c>
      <c r="K383" s="151" t="str">
        <f t="shared" si="11"/>
        <v/>
      </c>
      <c r="L383" s="44"/>
    </row>
    <row r="384" spans="2:12" s="46" customFormat="1" ht="14.25" customHeight="1">
      <c r="B384" s="38"/>
      <c r="C384" s="44"/>
      <c r="D384" s="137"/>
      <c r="E384" s="137"/>
      <c r="F384" s="137"/>
      <c r="G384" s="327"/>
      <c r="H384" s="263"/>
      <c r="I384" s="45"/>
      <c r="J384" s="149" t="str">
        <f t="shared" si="10"/>
        <v/>
      </c>
      <c r="K384" s="151" t="str">
        <f t="shared" si="11"/>
        <v/>
      </c>
      <c r="L384" s="44"/>
    </row>
    <row r="385" spans="2:12" s="46" customFormat="1" ht="14.25" customHeight="1">
      <c r="B385" s="38"/>
      <c r="C385" s="44"/>
      <c r="D385" s="137"/>
      <c r="E385" s="137"/>
      <c r="F385" s="137"/>
      <c r="G385" s="327"/>
      <c r="H385" s="263"/>
      <c r="I385" s="45"/>
      <c r="J385" s="149" t="str">
        <f t="shared" si="10"/>
        <v/>
      </c>
      <c r="K385" s="151" t="str">
        <f t="shared" si="11"/>
        <v/>
      </c>
      <c r="L385" s="44"/>
    </row>
    <row r="386" spans="2:12" s="46" customFormat="1" ht="14.25" customHeight="1">
      <c r="B386" s="38"/>
      <c r="C386" s="44"/>
      <c r="D386" s="137"/>
      <c r="E386" s="137"/>
      <c r="F386" s="137"/>
      <c r="G386" s="327"/>
      <c r="H386" s="263"/>
      <c r="I386" s="45"/>
      <c r="J386" s="149" t="str">
        <f t="shared" si="10"/>
        <v/>
      </c>
      <c r="K386" s="151" t="str">
        <f t="shared" si="11"/>
        <v/>
      </c>
      <c r="L386" s="44"/>
    </row>
    <row r="387" spans="2:12" s="46" customFormat="1" ht="14.25" customHeight="1">
      <c r="B387" s="38"/>
      <c r="C387" s="44"/>
      <c r="D387" s="137"/>
      <c r="E387" s="137"/>
      <c r="F387" s="137"/>
      <c r="G387" s="327"/>
      <c r="H387" s="263"/>
      <c r="I387" s="45"/>
      <c r="J387" s="149" t="str">
        <f t="shared" si="10"/>
        <v/>
      </c>
      <c r="K387" s="151" t="str">
        <f t="shared" si="11"/>
        <v/>
      </c>
      <c r="L387" s="44"/>
    </row>
    <row r="388" spans="2:12" s="46" customFormat="1" ht="14.25" customHeight="1">
      <c r="B388" s="38"/>
      <c r="C388" s="44"/>
      <c r="D388" s="137"/>
      <c r="E388" s="137"/>
      <c r="F388" s="137"/>
      <c r="G388" s="327"/>
      <c r="H388" s="263"/>
      <c r="I388" s="45"/>
      <c r="J388" s="149" t="str">
        <f t="shared" si="10"/>
        <v/>
      </c>
      <c r="K388" s="151" t="str">
        <f t="shared" si="11"/>
        <v/>
      </c>
      <c r="L388" s="44"/>
    </row>
    <row r="389" spans="2:12" s="46" customFormat="1" ht="14.25" customHeight="1">
      <c r="B389" s="38"/>
      <c r="C389" s="44"/>
      <c r="D389" s="137"/>
      <c r="E389" s="137"/>
      <c r="F389" s="137"/>
      <c r="G389" s="327"/>
      <c r="H389" s="263"/>
      <c r="I389" s="45"/>
      <c r="J389" s="149" t="str">
        <f t="shared" si="10"/>
        <v/>
      </c>
      <c r="K389" s="151" t="str">
        <f t="shared" si="11"/>
        <v/>
      </c>
      <c r="L389" s="44"/>
    </row>
    <row r="390" spans="2:12" s="46" customFormat="1" ht="14.25" customHeight="1">
      <c r="B390" s="38"/>
      <c r="C390" s="44"/>
      <c r="D390" s="137"/>
      <c r="E390" s="137"/>
      <c r="F390" s="137"/>
      <c r="G390" s="327"/>
      <c r="H390" s="263"/>
      <c r="I390" s="45"/>
      <c r="J390" s="149" t="str">
        <f t="shared" si="10"/>
        <v/>
      </c>
      <c r="K390" s="151" t="str">
        <f t="shared" si="11"/>
        <v/>
      </c>
      <c r="L390" s="44"/>
    </row>
    <row r="391" spans="2:12" s="46" customFormat="1" ht="14.25" customHeight="1">
      <c r="B391" s="38"/>
      <c r="C391" s="44"/>
      <c r="D391" s="137"/>
      <c r="E391" s="137"/>
      <c r="F391" s="137"/>
      <c r="G391" s="327"/>
      <c r="H391" s="263"/>
      <c r="I391" s="45"/>
      <c r="J391" s="149" t="str">
        <f t="shared" si="10"/>
        <v/>
      </c>
      <c r="K391" s="151" t="str">
        <f t="shared" si="11"/>
        <v/>
      </c>
      <c r="L391" s="44"/>
    </row>
    <row r="392" spans="2:12" s="46" customFormat="1" ht="14.25" customHeight="1">
      <c r="B392" s="38"/>
      <c r="C392" s="44"/>
      <c r="D392" s="137"/>
      <c r="E392" s="137"/>
      <c r="F392" s="137"/>
      <c r="G392" s="327"/>
      <c r="H392" s="263"/>
      <c r="I392" s="45"/>
      <c r="J392" s="149" t="str">
        <f t="shared" si="10"/>
        <v/>
      </c>
      <c r="K392" s="151" t="str">
        <f t="shared" si="11"/>
        <v/>
      </c>
      <c r="L392" s="44"/>
    </row>
    <row r="393" spans="2:12" s="46" customFormat="1" ht="14.25" customHeight="1">
      <c r="B393" s="38"/>
      <c r="C393" s="44"/>
      <c r="D393" s="137"/>
      <c r="E393" s="137"/>
      <c r="F393" s="137"/>
      <c r="G393" s="327"/>
      <c r="H393" s="263"/>
      <c r="I393" s="45"/>
      <c r="J393" s="149" t="str">
        <f t="shared" si="10"/>
        <v/>
      </c>
      <c r="K393" s="151" t="str">
        <f t="shared" si="11"/>
        <v/>
      </c>
      <c r="L393" s="44"/>
    </row>
    <row r="394" spans="2:12" s="46" customFormat="1" ht="14.25" customHeight="1">
      <c r="B394" s="38"/>
      <c r="C394" s="44"/>
      <c r="D394" s="137"/>
      <c r="E394" s="137"/>
      <c r="F394" s="137"/>
      <c r="G394" s="327"/>
      <c r="H394" s="263"/>
      <c r="I394" s="45"/>
      <c r="J394" s="149" t="str">
        <f t="shared" si="10"/>
        <v/>
      </c>
      <c r="K394" s="151" t="str">
        <f t="shared" si="11"/>
        <v/>
      </c>
      <c r="L394" s="44"/>
    </row>
    <row r="395" spans="2:12" s="46" customFormat="1" ht="14.25" customHeight="1">
      <c r="B395" s="38"/>
      <c r="C395" s="44"/>
      <c r="D395" s="137"/>
      <c r="E395" s="137"/>
      <c r="F395" s="137"/>
      <c r="G395" s="327"/>
      <c r="H395" s="263"/>
      <c r="I395" s="45"/>
      <c r="J395" s="149" t="str">
        <f t="shared" ref="J395:J402" si="12">IF($C395&lt;&gt;"",$E395*1.5,"")</f>
        <v/>
      </c>
      <c r="K395" s="151" t="str">
        <f t="shared" ref="K395:K402" si="13">IFERROR($J395/10,"")</f>
        <v/>
      </c>
      <c r="L395" s="44"/>
    </row>
    <row r="396" spans="2:12" s="46" customFormat="1" ht="14.25" customHeight="1">
      <c r="B396" s="38"/>
      <c r="C396" s="44"/>
      <c r="D396" s="137"/>
      <c r="E396" s="137"/>
      <c r="F396" s="137"/>
      <c r="G396" s="327"/>
      <c r="H396" s="263"/>
      <c r="I396" s="45"/>
      <c r="J396" s="149" t="str">
        <f t="shared" si="12"/>
        <v/>
      </c>
      <c r="K396" s="151" t="str">
        <f t="shared" si="13"/>
        <v/>
      </c>
      <c r="L396" s="44"/>
    </row>
    <row r="397" spans="2:12" s="46" customFormat="1" ht="14.25" customHeight="1">
      <c r="B397" s="38"/>
      <c r="C397" s="44"/>
      <c r="D397" s="137"/>
      <c r="E397" s="137"/>
      <c r="F397" s="137"/>
      <c r="G397" s="327"/>
      <c r="H397" s="263"/>
      <c r="I397" s="45"/>
      <c r="J397" s="149" t="str">
        <f t="shared" si="12"/>
        <v/>
      </c>
      <c r="K397" s="151" t="str">
        <f t="shared" si="13"/>
        <v/>
      </c>
      <c r="L397" s="44"/>
    </row>
    <row r="398" spans="2:12" s="46" customFormat="1" ht="14.25" customHeight="1">
      <c r="B398" s="38"/>
      <c r="C398" s="44"/>
      <c r="D398" s="137"/>
      <c r="E398" s="137"/>
      <c r="F398" s="137"/>
      <c r="G398" s="327"/>
      <c r="H398" s="263"/>
      <c r="I398" s="45"/>
      <c r="J398" s="149" t="str">
        <f t="shared" si="12"/>
        <v/>
      </c>
      <c r="K398" s="151" t="str">
        <f t="shared" si="13"/>
        <v/>
      </c>
      <c r="L398" s="44"/>
    </row>
    <row r="399" spans="2:12" s="46" customFormat="1" ht="14.25" customHeight="1">
      <c r="B399" s="38"/>
      <c r="C399" s="44"/>
      <c r="D399" s="137"/>
      <c r="E399" s="137"/>
      <c r="F399" s="137"/>
      <c r="G399" s="327"/>
      <c r="H399" s="263"/>
      <c r="I399" s="45"/>
      <c r="J399" s="149" t="str">
        <f t="shared" si="12"/>
        <v/>
      </c>
      <c r="K399" s="151" t="str">
        <f t="shared" si="13"/>
        <v/>
      </c>
      <c r="L399" s="44"/>
    </row>
    <row r="400" spans="2:12" s="46" customFormat="1" ht="14.25" customHeight="1">
      <c r="B400" s="38"/>
      <c r="C400" s="44"/>
      <c r="D400" s="137"/>
      <c r="E400" s="137"/>
      <c r="F400" s="137"/>
      <c r="G400" s="327"/>
      <c r="H400" s="263"/>
      <c r="I400" s="45"/>
      <c r="J400" s="149" t="str">
        <f t="shared" si="12"/>
        <v/>
      </c>
      <c r="K400" s="151" t="str">
        <f t="shared" si="13"/>
        <v/>
      </c>
      <c r="L400" s="44"/>
    </row>
    <row r="401" spans="2:31" s="46" customFormat="1" ht="14.25" customHeight="1">
      <c r="B401" s="38"/>
      <c r="C401" s="44"/>
      <c r="D401" s="137"/>
      <c r="E401" s="137"/>
      <c r="F401" s="137"/>
      <c r="G401" s="327"/>
      <c r="H401" s="263"/>
      <c r="I401" s="45"/>
      <c r="J401" s="149" t="str">
        <f t="shared" si="12"/>
        <v/>
      </c>
      <c r="K401" s="151" t="str">
        <f t="shared" si="13"/>
        <v/>
      </c>
      <c r="L401" s="44"/>
    </row>
    <row r="402" spans="2:31" s="46" customFormat="1" ht="14.25" customHeight="1">
      <c r="B402" s="38"/>
      <c r="C402" s="44"/>
      <c r="D402" s="137"/>
      <c r="E402" s="137"/>
      <c r="F402" s="137"/>
      <c r="G402" s="327"/>
      <c r="H402" s="263"/>
      <c r="I402" s="45"/>
      <c r="J402" s="149" t="str">
        <f t="shared" si="12"/>
        <v/>
      </c>
      <c r="K402" s="151" t="str">
        <f t="shared" si="13"/>
        <v/>
      </c>
      <c r="L402" s="44"/>
    </row>
    <row r="403" spans="2:31" s="46" customFormat="1" ht="14.25" customHeight="1">
      <c r="B403" s="325" t="s">
        <v>81</v>
      </c>
      <c r="C403" s="262"/>
      <c r="D403" s="262"/>
      <c r="E403" s="262"/>
      <c r="F403" s="262"/>
      <c r="G403" s="262"/>
      <c r="H403" s="262"/>
      <c r="I403" s="262"/>
      <c r="J403" s="262"/>
      <c r="K403" s="262"/>
      <c r="L403" s="263"/>
    </row>
    <row r="404" spans="2:31">
      <c r="B404" s="48"/>
      <c r="C404" s="49"/>
      <c r="D404" s="49"/>
      <c r="E404" s="49"/>
      <c r="F404" s="49"/>
      <c r="G404" s="49"/>
      <c r="H404" s="49"/>
      <c r="I404" s="148" t="s">
        <v>109</v>
      </c>
      <c r="J404" s="150">
        <f>SUM(J11:J402)</f>
        <v>0</v>
      </c>
      <c r="K404" s="331">
        <f>SUM(K11:K402)</f>
        <v>0</v>
      </c>
    </row>
    <row r="405" spans="2:31">
      <c r="I405" s="328" t="s">
        <v>110</v>
      </c>
      <c r="J405" s="263"/>
      <c r="K405" s="315"/>
    </row>
    <row r="415" spans="2:31" s="34" customFormat="1">
      <c r="C415" s="51"/>
      <c r="D415" s="51"/>
      <c r="E415" s="51"/>
      <c r="F415" s="51"/>
      <c r="G415" s="51"/>
      <c r="H415" s="51"/>
      <c r="I415" s="52"/>
      <c r="K415" s="21"/>
      <c r="L415" s="21"/>
      <c r="M415" s="21"/>
      <c r="N415" s="21"/>
      <c r="O415" s="21"/>
      <c r="P415" s="21"/>
      <c r="Q415" s="21"/>
      <c r="R415" s="21"/>
      <c r="S415" s="21"/>
      <c r="T415" s="21"/>
      <c r="U415" s="21"/>
      <c r="V415" s="21"/>
      <c r="W415" s="21"/>
      <c r="X415" s="21"/>
      <c r="Y415" s="21"/>
      <c r="Z415" s="21"/>
      <c r="AA415" s="21"/>
      <c r="AB415" s="21"/>
      <c r="AC415" s="21"/>
      <c r="AD415" s="21"/>
      <c r="AE415" s="21"/>
    </row>
    <row r="416" spans="2:31" s="34" customFormat="1">
      <c r="C416" s="51"/>
      <c r="D416" s="51"/>
      <c r="E416" s="51"/>
      <c r="F416" s="51"/>
      <c r="G416" s="51"/>
      <c r="H416" s="51"/>
      <c r="I416" s="52"/>
      <c r="K416" s="21"/>
      <c r="L416" s="21"/>
      <c r="M416" s="21"/>
      <c r="N416" s="21"/>
      <c r="O416" s="21"/>
      <c r="P416" s="21"/>
      <c r="Q416" s="21"/>
      <c r="R416" s="21"/>
      <c r="S416" s="21"/>
      <c r="T416" s="21"/>
      <c r="U416" s="21"/>
      <c r="V416" s="21"/>
      <c r="W416" s="21"/>
      <c r="X416" s="21"/>
      <c r="Y416" s="21"/>
      <c r="Z416" s="21"/>
      <c r="AA416" s="21"/>
      <c r="AB416" s="21"/>
      <c r="AC416" s="21"/>
      <c r="AD416" s="21"/>
      <c r="AE416" s="21"/>
    </row>
  </sheetData>
  <sheetProtection algorithmName="SHA-512" hashValue="CMSmboVc1Gxv1HXfGm0nrS4cKmh4yfzwgqyDhfM4s+GbM/t3K/bEVXwgC7UaMDoCq3Kq7BI5glTJ6XZhsyRopA==" saltValue="+ZhdmtkwKdvh07aHtjdTTA==" spinCount="100000" sheet="1" formatCells="0" formatColumns="0" formatRows="0" insertColumns="0" insertRows="0" insertHyperlinks="0" deleteColumns="0" deleteRows="0" sort="0" autoFilter="0" pivotTables="0"/>
  <mergeCells count="413">
    <mergeCell ref="B3:C4"/>
    <mergeCell ref="G32:H32"/>
    <mergeCell ref="G63:H63"/>
    <mergeCell ref="G330:H330"/>
    <mergeCell ref="G134:H134"/>
    <mergeCell ref="G50:H50"/>
    <mergeCell ref="G286:H286"/>
    <mergeCell ref="G96:H96"/>
    <mergeCell ref="G332:H332"/>
    <mergeCell ref="G52:H52"/>
    <mergeCell ref="G27:H27"/>
    <mergeCell ref="G98:H98"/>
    <mergeCell ref="G156:H156"/>
    <mergeCell ref="G327:H327"/>
    <mergeCell ref="G93:H93"/>
    <mergeCell ref="G264:H264"/>
    <mergeCell ref="G187:H187"/>
    <mergeCell ref="G279:H279"/>
    <mergeCell ref="G124:H124"/>
    <mergeCell ref="G180:H180"/>
    <mergeCell ref="G45:H45"/>
    <mergeCell ref="G216:H216"/>
    <mergeCell ref="G281:H281"/>
    <mergeCell ref="G188:H188"/>
    <mergeCell ref="B8:B9"/>
    <mergeCell ref="G400:H400"/>
    <mergeCell ref="G179:H179"/>
    <mergeCell ref="G39:H39"/>
    <mergeCell ref="G166:H166"/>
    <mergeCell ref="G337:H337"/>
    <mergeCell ref="G402:H402"/>
    <mergeCell ref="G141:H141"/>
    <mergeCell ref="G116:H116"/>
    <mergeCell ref="G377:H377"/>
    <mergeCell ref="G352:H352"/>
    <mergeCell ref="G103:H103"/>
    <mergeCell ref="G37:H37"/>
    <mergeCell ref="G401:H401"/>
    <mergeCell ref="G339:H339"/>
    <mergeCell ref="G118:H118"/>
    <mergeCell ref="G167:H167"/>
    <mergeCell ref="G210:H210"/>
    <mergeCell ref="G350:H350"/>
    <mergeCell ref="G396:H396"/>
    <mergeCell ref="G390:H390"/>
    <mergeCell ref="G343:H343"/>
    <mergeCell ref="G55:H55"/>
    <mergeCell ref="G182:H182"/>
    <mergeCell ref="C8:C9"/>
    <mergeCell ref="G195:H195"/>
    <mergeCell ref="G24:H24"/>
    <mergeCell ref="G266:H266"/>
    <mergeCell ref="G322:H322"/>
    <mergeCell ref="G260:H260"/>
    <mergeCell ref="G309:H309"/>
    <mergeCell ref="G88:H88"/>
    <mergeCell ref="G259:H259"/>
    <mergeCell ref="G197:H197"/>
    <mergeCell ref="G26:H26"/>
    <mergeCell ref="G90:H90"/>
    <mergeCell ref="G261:H261"/>
    <mergeCell ref="G115:H115"/>
    <mergeCell ref="G42:H42"/>
    <mergeCell ref="G111:H111"/>
    <mergeCell ref="G109:H109"/>
    <mergeCell ref="G280:H280"/>
    <mergeCell ref="G47:H47"/>
    <mergeCell ref="G274:H274"/>
    <mergeCell ref="G218:H218"/>
    <mergeCell ref="G119:H119"/>
    <mergeCell ref="G295:H295"/>
    <mergeCell ref="G46:H46"/>
    <mergeCell ref="K404:K405"/>
    <mergeCell ref="G147:H147"/>
    <mergeCell ref="G174:H174"/>
    <mergeCell ref="G245:H245"/>
    <mergeCell ref="G189:H189"/>
    <mergeCell ref="G18:H18"/>
    <mergeCell ref="G34:H34"/>
    <mergeCell ref="G397:H397"/>
    <mergeCell ref="G163:H163"/>
    <mergeCell ref="G334:H334"/>
    <mergeCell ref="G113:H113"/>
    <mergeCell ref="G100:H100"/>
    <mergeCell ref="G94:H94"/>
    <mergeCell ref="G165:H165"/>
    <mergeCell ref="G336:H336"/>
    <mergeCell ref="G44:H44"/>
    <mergeCell ref="G311:H311"/>
    <mergeCell ref="G102:H102"/>
    <mergeCell ref="G158:H158"/>
    <mergeCell ref="G77:H77"/>
    <mergeCell ref="G375:H375"/>
    <mergeCell ref="G169:H169"/>
    <mergeCell ref="G40:H40"/>
    <mergeCell ref="G233:H233"/>
    <mergeCell ref="L8:L9"/>
    <mergeCell ref="G308:H308"/>
    <mergeCell ref="G53:H53"/>
    <mergeCell ref="G28:H28"/>
    <mergeCell ref="G326:H326"/>
    <mergeCell ref="G74:H74"/>
    <mergeCell ref="G239:H239"/>
    <mergeCell ref="G310:H310"/>
    <mergeCell ref="G92:H92"/>
    <mergeCell ref="G30:H30"/>
    <mergeCell ref="G290:H290"/>
    <mergeCell ref="G150:H150"/>
    <mergeCell ref="G255:H255"/>
    <mergeCell ref="G321:H321"/>
    <mergeCell ref="G242:H242"/>
    <mergeCell ref="G21:H21"/>
    <mergeCell ref="G81:H81"/>
    <mergeCell ref="G208:H208"/>
    <mergeCell ref="G244:H244"/>
    <mergeCell ref="G194:H194"/>
    <mergeCell ref="G145:H145"/>
    <mergeCell ref="G23:H23"/>
    <mergeCell ref="G316:H316"/>
    <mergeCell ref="G181:H181"/>
    <mergeCell ref="J4:L4"/>
    <mergeCell ref="G205:H205"/>
    <mergeCell ref="G314:H314"/>
    <mergeCell ref="B5:C6"/>
    <mergeCell ref="D5:E6"/>
    <mergeCell ref="G388:H388"/>
    <mergeCell ref="G65:H65"/>
    <mergeCell ref="G192:H192"/>
    <mergeCell ref="G154:H154"/>
    <mergeCell ref="J5:L5"/>
    <mergeCell ref="G246:H246"/>
    <mergeCell ref="G129:H129"/>
    <mergeCell ref="G365:H365"/>
    <mergeCell ref="G221:H221"/>
    <mergeCell ref="G25:H25"/>
    <mergeCell ref="G60:H60"/>
    <mergeCell ref="G131:H131"/>
    <mergeCell ref="G236:H236"/>
    <mergeCell ref="G223:H223"/>
    <mergeCell ref="J6:L6"/>
    <mergeCell ref="G300:H300"/>
    <mergeCell ref="G287:H287"/>
    <mergeCell ref="G126:H126"/>
    <mergeCell ref="G289:H289"/>
    <mergeCell ref="E8:E9"/>
    <mergeCell ref="D3:E4"/>
    <mergeCell ref="G331:H331"/>
    <mergeCell ref="G176:H176"/>
    <mergeCell ref="G347:H347"/>
    <mergeCell ref="G97:H97"/>
    <mergeCell ref="G268:H268"/>
    <mergeCell ref="G57:H57"/>
    <mergeCell ref="G128:H128"/>
    <mergeCell ref="G184:H184"/>
    <mergeCell ref="G342:H342"/>
    <mergeCell ref="G171:H171"/>
    <mergeCell ref="G15:H15"/>
    <mergeCell ref="G142:H142"/>
    <mergeCell ref="G313:H313"/>
    <mergeCell ref="G80:H80"/>
    <mergeCell ref="G234:H234"/>
    <mergeCell ref="G305:H305"/>
    <mergeCell ref="G79:H79"/>
    <mergeCell ref="G73:H73"/>
    <mergeCell ref="G144:H144"/>
    <mergeCell ref="G315:H315"/>
    <mergeCell ref="G173:H173"/>
    <mergeCell ref="G170:H170"/>
    <mergeCell ref="I405:J405"/>
    <mergeCell ref="G196:H196"/>
    <mergeCell ref="G207:H207"/>
    <mergeCell ref="B10:L10"/>
    <mergeCell ref="G225:H225"/>
    <mergeCell ref="G200:H200"/>
    <mergeCell ref="G29:H29"/>
    <mergeCell ref="G271:H271"/>
    <mergeCell ref="G265:H265"/>
    <mergeCell ref="G227:H227"/>
    <mergeCell ref="G202:H202"/>
    <mergeCell ref="G31:H31"/>
    <mergeCell ref="G273:H273"/>
    <mergeCell ref="G291:H291"/>
    <mergeCell ref="G362:H362"/>
    <mergeCell ref="G376:H376"/>
    <mergeCell ref="G363:H363"/>
    <mergeCell ref="G378:H378"/>
    <mergeCell ref="G262:H262"/>
    <mergeCell ref="G353:H353"/>
    <mergeCell ref="G384:H384"/>
    <mergeCell ref="G379:H379"/>
    <mergeCell ref="G387:H387"/>
    <mergeCell ref="G381:H381"/>
    <mergeCell ref="F8:F9"/>
    <mergeCell ref="G101:H101"/>
    <mergeCell ref="G172:H172"/>
    <mergeCell ref="G199:H199"/>
    <mergeCell ref="G392:H392"/>
    <mergeCell ref="G386:H386"/>
    <mergeCell ref="G186:H186"/>
    <mergeCell ref="G288:H288"/>
    <mergeCell ref="G263:H263"/>
    <mergeCell ref="G152:H152"/>
    <mergeCell ref="G323:H323"/>
    <mergeCell ref="G54:H54"/>
    <mergeCell ref="G41:H41"/>
    <mergeCell ref="G212:H212"/>
    <mergeCell ref="G106:H106"/>
    <mergeCell ref="G277:H277"/>
    <mergeCell ref="G56:H56"/>
    <mergeCell ref="G105:H105"/>
    <mergeCell ref="G276:H276"/>
    <mergeCell ref="G43:H43"/>
    <mergeCell ref="G214:H214"/>
    <mergeCell ref="G341:H341"/>
    <mergeCell ref="G120:H120"/>
    <mergeCell ref="G36:H36"/>
    <mergeCell ref="B403:L403"/>
    <mergeCell ref="G252:H252"/>
    <mergeCell ref="G99:H99"/>
    <mergeCell ref="G366:H366"/>
    <mergeCell ref="G155:H155"/>
    <mergeCell ref="G130:H130"/>
    <mergeCell ref="G391:H391"/>
    <mergeCell ref="G157:H157"/>
    <mergeCell ref="G132:H132"/>
    <mergeCell ref="G328:H328"/>
    <mergeCell ref="G122:H122"/>
    <mergeCell ref="G224:H224"/>
    <mergeCell ref="G394:H394"/>
    <mergeCell ref="G107:H107"/>
    <mergeCell ref="G278:H278"/>
    <mergeCell ref="G237:H237"/>
    <mergeCell ref="G160:H160"/>
    <mergeCell ref="G191:H191"/>
    <mergeCell ref="G258:H258"/>
    <mergeCell ref="G324:H324"/>
    <mergeCell ref="G385:H385"/>
    <mergeCell ref="G185:H185"/>
    <mergeCell ref="G338:H338"/>
    <mergeCell ref="G275:H275"/>
    <mergeCell ref="G1:L1"/>
    <mergeCell ref="G83:H83"/>
    <mergeCell ref="G254:H254"/>
    <mergeCell ref="G248:H248"/>
    <mergeCell ref="G319:H319"/>
    <mergeCell ref="G235:H235"/>
    <mergeCell ref="G14:H14"/>
    <mergeCell ref="G159:H159"/>
    <mergeCell ref="G8:H9"/>
    <mergeCell ref="G84:H84"/>
    <mergeCell ref="G86:H86"/>
    <mergeCell ref="G257:H257"/>
    <mergeCell ref="G151:H151"/>
    <mergeCell ref="G178:H178"/>
    <mergeCell ref="G272:H272"/>
    <mergeCell ref="G38:H38"/>
    <mergeCell ref="G209:H209"/>
    <mergeCell ref="G175:H175"/>
    <mergeCell ref="G162:H162"/>
    <mergeCell ref="G177:H177"/>
    <mergeCell ref="G204:H204"/>
    <mergeCell ref="G104:H104"/>
    <mergeCell ref="G269:H269"/>
    <mergeCell ref="J3:L3"/>
    <mergeCell ref="G373:H373"/>
    <mergeCell ref="G294:H294"/>
    <mergeCell ref="G108:H108"/>
    <mergeCell ref="G231:H231"/>
    <mergeCell ref="G325:H325"/>
    <mergeCell ref="G20:H20"/>
    <mergeCell ref="G91:H91"/>
    <mergeCell ref="I8:I9"/>
    <mergeCell ref="G133:H133"/>
    <mergeCell ref="G369:H369"/>
    <mergeCell ref="G95:H95"/>
    <mergeCell ref="G89:H89"/>
    <mergeCell ref="G356:H356"/>
    <mergeCell ref="G64:H64"/>
    <mergeCell ref="G302:H302"/>
    <mergeCell ref="G333:H333"/>
    <mergeCell ref="G121:H121"/>
    <mergeCell ref="G357:H357"/>
    <mergeCell ref="G284:H284"/>
    <mergeCell ref="G222:H222"/>
    <mergeCell ref="G344:H344"/>
    <mergeCell ref="G58:H58"/>
    <mergeCell ref="G123:H123"/>
    <mergeCell ref="G110:H110"/>
    <mergeCell ref="G125:H125"/>
    <mergeCell ref="G112:H112"/>
    <mergeCell ref="J8:K8"/>
    <mergeCell ref="G72:H72"/>
    <mergeCell ref="G370:H370"/>
    <mergeCell ref="G161:H161"/>
    <mergeCell ref="G136:H136"/>
    <mergeCell ref="G228:H228"/>
    <mergeCell ref="G292:H292"/>
    <mergeCell ref="G267:H267"/>
    <mergeCell ref="G215:H215"/>
    <mergeCell ref="G75:H75"/>
    <mergeCell ref="G297:H297"/>
    <mergeCell ref="G70:H70"/>
    <mergeCell ref="G241:H241"/>
    <mergeCell ref="G312:H312"/>
    <mergeCell ref="G299:H299"/>
    <mergeCell ref="G355:H355"/>
    <mergeCell ref="G293:H293"/>
    <mergeCell ref="G243:H243"/>
    <mergeCell ref="G78:H78"/>
    <mergeCell ref="G249:H249"/>
    <mergeCell ref="G135:H135"/>
    <mergeCell ref="G306:H306"/>
    <mergeCell ref="G117:H117"/>
    <mergeCell ref="G359:H359"/>
    <mergeCell ref="G51:H51"/>
    <mergeCell ref="G349:H349"/>
    <mergeCell ref="G153:H153"/>
    <mergeCell ref="G226:H226"/>
    <mergeCell ref="G364:H364"/>
    <mergeCell ref="G164:H164"/>
    <mergeCell ref="G217:H217"/>
    <mergeCell ref="G251:H251"/>
    <mergeCell ref="G68:H68"/>
    <mergeCell ref="G335:H335"/>
    <mergeCell ref="G139:H139"/>
    <mergeCell ref="G114:H114"/>
    <mergeCell ref="G206:H206"/>
    <mergeCell ref="G190:H190"/>
    <mergeCell ref="G146:H146"/>
    <mergeCell ref="G317:H317"/>
    <mergeCell ref="G304:H304"/>
    <mergeCell ref="G318:H318"/>
    <mergeCell ref="G85:H85"/>
    <mergeCell ref="G256:H256"/>
    <mergeCell ref="G183:H183"/>
    <mergeCell ref="G220:H220"/>
    <mergeCell ref="G303:H303"/>
    <mergeCell ref="G296:H296"/>
    <mergeCell ref="G367:H367"/>
    <mergeCell ref="G354:H354"/>
    <mergeCell ref="G329:H329"/>
    <mergeCell ref="G193:H193"/>
    <mergeCell ref="G149:H149"/>
    <mergeCell ref="G283:H283"/>
    <mergeCell ref="G307:H307"/>
    <mergeCell ref="G16:H16"/>
    <mergeCell ref="G76:H76"/>
    <mergeCell ref="G11:H11"/>
    <mergeCell ref="G69:H69"/>
    <mergeCell ref="G87:H87"/>
    <mergeCell ref="G19:H19"/>
    <mergeCell ref="G22:H22"/>
    <mergeCell ref="G33:H33"/>
    <mergeCell ref="G35:H35"/>
    <mergeCell ref="G66:H66"/>
    <mergeCell ref="G48:H48"/>
    <mergeCell ref="G49:H49"/>
    <mergeCell ref="G12:H12"/>
    <mergeCell ref="G13:H13"/>
    <mergeCell ref="G59:H59"/>
    <mergeCell ref="G67:H67"/>
    <mergeCell ref="G61:H61"/>
    <mergeCell ref="G17:H17"/>
    <mergeCell ref="G82:H82"/>
    <mergeCell ref="G71:H71"/>
    <mergeCell ref="G371:H371"/>
    <mergeCell ref="G348:H348"/>
    <mergeCell ref="G62:H62"/>
    <mergeCell ref="G127:H127"/>
    <mergeCell ref="G298:H298"/>
    <mergeCell ref="G285:H285"/>
    <mergeCell ref="G250:H250"/>
    <mergeCell ref="G201:H201"/>
    <mergeCell ref="G138:H138"/>
    <mergeCell ref="G358:H358"/>
    <mergeCell ref="G137:H137"/>
    <mergeCell ref="G229:H229"/>
    <mergeCell ref="G340:H340"/>
    <mergeCell ref="G345:H345"/>
    <mergeCell ref="G211:H211"/>
    <mergeCell ref="G253:H253"/>
    <mergeCell ref="G240:H240"/>
    <mergeCell ref="G203:H203"/>
    <mergeCell ref="G230:H230"/>
    <mergeCell ref="G301:H301"/>
    <mergeCell ref="G361:H361"/>
    <mergeCell ref="G140:H140"/>
    <mergeCell ref="G238:H238"/>
    <mergeCell ref="G232:H232"/>
    <mergeCell ref="G399:H399"/>
    <mergeCell ref="G168:H168"/>
    <mergeCell ref="G143:H143"/>
    <mergeCell ref="G213:H213"/>
    <mergeCell ref="G270:H270"/>
    <mergeCell ref="G351:H351"/>
    <mergeCell ref="G360:H360"/>
    <mergeCell ref="G148:H148"/>
    <mergeCell ref="G219:H219"/>
    <mergeCell ref="G346:H346"/>
    <mergeCell ref="G198:H198"/>
    <mergeCell ref="G320:H320"/>
    <mergeCell ref="G247:H247"/>
    <mergeCell ref="G368:H368"/>
    <mergeCell ref="G395:H395"/>
    <mergeCell ref="G393:H393"/>
    <mergeCell ref="G389:H389"/>
    <mergeCell ref="G383:H383"/>
    <mergeCell ref="G398:H398"/>
    <mergeCell ref="G282:H282"/>
    <mergeCell ref="G372:H372"/>
    <mergeCell ref="G382:H382"/>
    <mergeCell ref="G380:H380"/>
    <mergeCell ref="G374:H374"/>
  </mergeCells>
  <dataValidations count="3">
    <dataValidation type="list" allowBlank="1" showInputMessage="1" showErrorMessage="1" sqref="C11:C402" xr:uid="{00000000-0002-0000-0500-000000000000}">
      <formula1>UST</formula1>
    </dataValidation>
    <dataValidation allowBlank="1" showInputMessage="1" showErrorMessage="1" errorTitle="Erro" error="Selecione uma das opções apresentada" sqref="J11:J402" xr:uid="{00000000-0002-0000-0500-000001000000}"/>
    <dataValidation type="list" allowBlank="1" showInputMessage="1" showErrorMessage="1" sqref="D11:D402" xr:uid="{00000000-0002-0000-0500-000002000000}">
      <formula1>"Básica,Intermediária,Mediana,Alta"</formula1>
    </dataValidation>
  </dataValidations>
  <pageMargins left="0.19685039370078741" right="0.19685039370078741" top="0.33" bottom="0.43" header="0.18" footer="0.27559055118110237"/>
  <pageSetup paperSize="9" scale="78" fitToHeight="10"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249977111117893"/>
    <pageSetUpPr fitToPage="1"/>
  </sheetPr>
  <dimension ref="B1:AA121"/>
  <sheetViews>
    <sheetView showGridLines="0" zoomScaleNormal="100" workbookViewId="0">
      <selection activeCell="I92" sqref="I92"/>
    </sheetView>
  </sheetViews>
  <sheetFormatPr baseColWidth="10" defaultColWidth="8.83203125" defaultRowHeight="13"/>
  <cols>
    <col min="1" max="1" width="3.1640625" style="21" customWidth="1"/>
    <col min="2" max="2" width="17.5" style="53" customWidth="1"/>
    <col min="3" max="3" width="18.1640625" style="53" customWidth="1"/>
    <col min="4" max="4" width="23" style="53" customWidth="1"/>
    <col min="5" max="5" width="44" style="54" customWidth="1"/>
    <col min="6" max="6" width="12.1640625" style="34" bestFit="1" customWidth="1"/>
    <col min="7" max="7" width="8.1640625" style="21" customWidth="1"/>
    <col min="8" max="8" width="28.5" style="21" customWidth="1"/>
    <col min="9" max="9" width="35.83203125" style="21" customWidth="1"/>
    <col min="10" max="10" width="9.1640625" style="21" customWidth="1"/>
    <col min="11" max="11" width="9.5" style="21" customWidth="1"/>
    <col min="12" max="20" width="9.1640625" style="21" customWidth="1"/>
    <col min="21" max="22" width="8.83203125" style="21" customWidth="1"/>
    <col min="23" max="16384" width="8.83203125" style="21"/>
  </cols>
  <sheetData>
    <row r="1" spans="2:17" ht="69" customHeight="1">
      <c r="B1" s="30"/>
      <c r="C1" s="266" t="s">
        <v>111</v>
      </c>
      <c r="D1" s="267"/>
      <c r="E1" s="267"/>
      <c r="F1" s="267"/>
      <c r="G1" s="267"/>
      <c r="H1" s="267"/>
      <c r="I1" s="267"/>
      <c r="J1" s="31"/>
      <c r="K1" s="27"/>
      <c r="L1" s="27"/>
      <c r="M1" s="27"/>
      <c r="N1" s="27"/>
      <c r="O1" s="27"/>
      <c r="P1" s="27"/>
      <c r="Q1" s="27"/>
    </row>
    <row r="2" spans="2:17" ht="9" customHeight="1">
      <c r="B2" s="28"/>
      <c r="C2" s="28"/>
      <c r="D2" s="28"/>
      <c r="E2" s="28"/>
      <c r="F2" s="28"/>
      <c r="G2" s="28"/>
      <c r="H2" s="28"/>
      <c r="I2" s="28"/>
    </row>
    <row r="3" spans="2:17" ht="18.5" customHeight="1">
      <c r="B3" s="23"/>
      <c r="C3" s="23"/>
      <c r="D3" s="23"/>
      <c r="E3" s="313" t="s">
        <v>12</v>
      </c>
      <c r="F3" s="262"/>
      <c r="G3" s="263"/>
      <c r="H3" s="271" t="s">
        <v>85</v>
      </c>
      <c r="I3" s="263"/>
    </row>
    <row r="4" spans="2:17" ht="18.5" customHeight="1">
      <c r="B4" s="23"/>
      <c r="C4" s="23"/>
      <c r="D4" s="23"/>
      <c r="E4" s="313" t="s">
        <v>14</v>
      </c>
      <c r="F4" s="262"/>
      <c r="G4" s="263"/>
      <c r="H4" s="261"/>
      <c r="I4" s="263"/>
    </row>
    <row r="5" spans="2:17" ht="18.5" customHeight="1">
      <c r="B5" s="268" t="s">
        <v>112</v>
      </c>
      <c r="C5" s="279"/>
      <c r="D5" s="334" t="str">
        <f>TEXT(H109,"#.##0,0#")</f>
        <v>0,0</v>
      </c>
      <c r="E5" s="313" t="s">
        <v>15</v>
      </c>
      <c r="F5" s="262"/>
      <c r="G5" s="263"/>
      <c r="H5" s="271"/>
      <c r="I5" s="263"/>
    </row>
    <row r="6" spans="2:17" ht="18.5" customHeight="1">
      <c r="B6" s="282"/>
      <c r="C6" s="283"/>
      <c r="D6" s="315"/>
      <c r="E6" s="313" t="s">
        <v>16</v>
      </c>
      <c r="F6" s="262"/>
      <c r="G6" s="263"/>
      <c r="H6" s="271"/>
      <c r="I6" s="263"/>
    </row>
    <row r="7" spans="2:17" ht="9" customHeight="1">
      <c r="B7" s="40"/>
      <c r="C7" s="40"/>
      <c r="D7" s="40"/>
      <c r="E7" s="41"/>
      <c r="F7" s="41"/>
      <c r="G7" s="41"/>
      <c r="H7" s="41"/>
    </row>
    <row r="8" spans="2:17" s="42" customFormat="1" ht="15.75" customHeight="1">
      <c r="B8" s="258" t="s">
        <v>49</v>
      </c>
      <c r="C8" s="265" t="s">
        <v>50</v>
      </c>
      <c r="D8" s="279"/>
      <c r="E8" s="258" t="s">
        <v>113</v>
      </c>
      <c r="F8" s="324" t="s">
        <v>114</v>
      </c>
      <c r="G8" s="283"/>
      <c r="H8" s="324" t="s">
        <v>59</v>
      </c>
      <c r="I8" s="259" t="s">
        <v>60</v>
      </c>
    </row>
    <row r="9" spans="2:17" s="43" customFormat="1" ht="15.75" customHeight="1">
      <c r="B9" s="257"/>
      <c r="C9" s="282"/>
      <c r="D9" s="283"/>
      <c r="E9" s="257"/>
      <c r="F9" s="35" t="s">
        <v>52</v>
      </c>
      <c r="G9" s="35" t="s">
        <v>62</v>
      </c>
      <c r="H9" s="257"/>
      <c r="I9" s="257"/>
    </row>
    <row r="10" spans="2:17" s="46" customFormat="1" ht="14.25" customHeight="1">
      <c r="B10" s="44"/>
      <c r="C10" s="327"/>
      <c r="D10" s="263"/>
      <c r="E10" s="45"/>
      <c r="F10" s="44"/>
      <c r="G10" s="149" t="str">
        <f t="shared" ref="G10:G41" si="0">IF(F10="ALI",35,IF(F10="AIE",15,""))</f>
        <v/>
      </c>
      <c r="H10" s="44"/>
      <c r="I10" s="44"/>
    </row>
    <row r="11" spans="2:17" s="46" customFormat="1" ht="14.25" customHeight="1">
      <c r="B11" s="44"/>
      <c r="C11" s="327"/>
      <c r="D11" s="263"/>
      <c r="E11" s="45"/>
      <c r="F11" s="44"/>
      <c r="G11" s="149" t="str">
        <f t="shared" si="0"/>
        <v/>
      </c>
      <c r="H11" s="44"/>
      <c r="I11" s="44"/>
    </row>
    <row r="12" spans="2:17" s="46" customFormat="1" ht="14.25" customHeight="1">
      <c r="B12" s="44"/>
      <c r="C12" s="327"/>
      <c r="D12" s="263"/>
      <c r="E12" s="45"/>
      <c r="F12" s="44"/>
      <c r="G12" s="149" t="str">
        <f t="shared" si="0"/>
        <v/>
      </c>
      <c r="H12" s="44"/>
      <c r="I12" s="44"/>
    </row>
    <row r="13" spans="2:17" s="46" customFormat="1" ht="14.25" customHeight="1">
      <c r="B13" s="44"/>
      <c r="C13" s="327"/>
      <c r="D13" s="263"/>
      <c r="E13" s="45"/>
      <c r="F13" s="44"/>
      <c r="G13" s="149" t="str">
        <f t="shared" si="0"/>
        <v/>
      </c>
      <c r="H13" s="44"/>
      <c r="I13" s="44"/>
    </row>
    <row r="14" spans="2:17" s="46" customFormat="1" ht="14.25" customHeight="1">
      <c r="B14" s="44"/>
      <c r="C14" s="327"/>
      <c r="D14" s="263"/>
      <c r="E14" s="45"/>
      <c r="F14" s="44"/>
      <c r="G14" s="149" t="str">
        <f t="shared" si="0"/>
        <v/>
      </c>
      <c r="H14" s="44"/>
      <c r="I14" s="44"/>
    </row>
    <row r="15" spans="2:17" s="46" customFormat="1" ht="14.25" customHeight="1">
      <c r="B15" s="44"/>
      <c r="C15" s="327"/>
      <c r="D15" s="263"/>
      <c r="E15" s="45"/>
      <c r="F15" s="44"/>
      <c r="G15" s="149" t="str">
        <f t="shared" si="0"/>
        <v/>
      </c>
      <c r="H15" s="44"/>
      <c r="I15" s="44"/>
    </row>
    <row r="16" spans="2:17" s="46" customFormat="1" ht="14.25" customHeight="1">
      <c r="B16" s="44"/>
      <c r="C16" s="327"/>
      <c r="D16" s="263"/>
      <c r="E16" s="45"/>
      <c r="F16" s="44"/>
      <c r="G16" s="149" t="str">
        <f t="shared" si="0"/>
        <v/>
      </c>
      <c r="H16" s="44"/>
      <c r="I16" s="44"/>
    </row>
    <row r="17" spans="2:9" s="46" customFormat="1" ht="14.25" customHeight="1">
      <c r="B17" s="44"/>
      <c r="C17" s="327"/>
      <c r="D17" s="263"/>
      <c r="E17" s="45"/>
      <c r="F17" s="44"/>
      <c r="G17" s="149" t="str">
        <f t="shared" si="0"/>
        <v/>
      </c>
      <c r="H17" s="44"/>
      <c r="I17" s="44"/>
    </row>
    <row r="18" spans="2:9" s="46" customFormat="1" ht="14.25" customHeight="1">
      <c r="B18" s="44"/>
      <c r="C18" s="327"/>
      <c r="D18" s="263"/>
      <c r="E18" s="45"/>
      <c r="F18" s="44"/>
      <c r="G18" s="149" t="str">
        <f t="shared" si="0"/>
        <v/>
      </c>
      <c r="H18" s="44"/>
      <c r="I18" s="44"/>
    </row>
    <row r="19" spans="2:9" s="46" customFormat="1" ht="14.25" customHeight="1">
      <c r="B19" s="44"/>
      <c r="C19" s="327"/>
      <c r="D19" s="263"/>
      <c r="E19" s="45"/>
      <c r="F19" s="44"/>
      <c r="G19" s="149" t="str">
        <f t="shared" si="0"/>
        <v/>
      </c>
      <c r="H19" s="44"/>
      <c r="I19" s="44"/>
    </row>
    <row r="20" spans="2:9" s="46" customFormat="1" ht="14.25" customHeight="1">
      <c r="B20" s="44"/>
      <c r="C20" s="327"/>
      <c r="D20" s="263"/>
      <c r="E20" s="45"/>
      <c r="F20" s="44"/>
      <c r="G20" s="149" t="str">
        <f t="shared" si="0"/>
        <v/>
      </c>
      <c r="H20" s="44"/>
      <c r="I20" s="44"/>
    </row>
    <row r="21" spans="2:9" s="46" customFormat="1" ht="14.25" customHeight="1">
      <c r="B21" s="44"/>
      <c r="C21" s="327"/>
      <c r="D21" s="263"/>
      <c r="E21" s="45"/>
      <c r="F21" s="44"/>
      <c r="G21" s="149" t="str">
        <f t="shared" si="0"/>
        <v/>
      </c>
      <c r="H21" s="44"/>
      <c r="I21" s="44"/>
    </row>
    <row r="22" spans="2:9" s="46" customFormat="1" ht="14.25" customHeight="1">
      <c r="B22" s="44"/>
      <c r="C22" s="327"/>
      <c r="D22" s="263"/>
      <c r="E22" s="45"/>
      <c r="F22" s="44"/>
      <c r="G22" s="149" t="str">
        <f t="shared" si="0"/>
        <v/>
      </c>
      <c r="H22" s="44"/>
      <c r="I22" s="44"/>
    </row>
    <row r="23" spans="2:9" s="46" customFormat="1" ht="14.25" customHeight="1">
      <c r="B23" s="44"/>
      <c r="C23" s="327"/>
      <c r="D23" s="263"/>
      <c r="E23" s="45"/>
      <c r="F23" s="44"/>
      <c r="G23" s="149" t="str">
        <f t="shared" si="0"/>
        <v/>
      </c>
      <c r="H23" s="44"/>
      <c r="I23" s="44"/>
    </row>
    <row r="24" spans="2:9" s="46" customFormat="1" ht="14.25" customHeight="1">
      <c r="B24" s="44"/>
      <c r="C24" s="327"/>
      <c r="D24" s="263"/>
      <c r="E24" s="45"/>
      <c r="F24" s="44"/>
      <c r="G24" s="149" t="str">
        <f t="shared" si="0"/>
        <v/>
      </c>
      <c r="H24" s="44"/>
      <c r="I24" s="44"/>
    </row>
    <row r="25" spans="2:9" s="46" customFormat="1" ht="14.25" customHeight="1">
      <c r="B25" s="44"/>
      <c r="C25" s="327"/>
      <c r="D25" s="263"/>
      <c r="E25" s="45"/>
      <c r="F25" s="44"/>
      <c r="G25" s="149" t="str">
        <f t="shared" si="0"/>
        <v/>
      </c>
      <c r="H25" s="44"/>
      <c r="I25" s="44"/>
    </row>
    <row r="26" spans="2:9" s="46" customFormat="1" ht="14.25" customHeight="1">
      <c r="B26" s="44"/>
      <c r="C26" s="327"/>
      <c r="D26" s="263"/>
      <c r="E26" s="45"/>
      <c r="F26" s="44"/>
      <c r="G26" s="149" t="str">
        <f t="shared" si="0"/>
        <v/>
      </c>
      <c r="H26" s="44"/>
      <c r="I26" s="44"/>
    </row>
    <row r="27" spans="2:9" s="46" customFormat="1" ht="14.25" customHeight="1">
      <c r="B27" s="44"/>
      <c r="C27" s="327"/>
      <c r="D27" s="263"/>
      <c r="E27" s="45"/>
      <c r="F27" s="44"/>
      <c r="G27" s="149" t="str">
        <f t="shared" si="0"/>
        <v/>
      </c>
      <c r="H27" s="44"/>
      <c r="I27" s="44"/>
    </row>
    <row r="28" spans="2:9" s="46" customFormat="1" ht="14.25" customHeight="1">
      <c r="B28" s="44"/>
      <c r="C28" s="327"/>
      <c r="D28" s="263"/>
      <c r="E28" s="47"/>
      <c r="F28" s="44"/>
      <c r="G28" s="149" t="str">
        <f t="shared" si="0"/>
        <v/>
      </c>
      <c r="H28" s="44"/>
      <c r="I28" s="44"/>
    </row>
    <row r="29" spans="2:9" s="46" customFormat="1" ht="14.25" customHeight="1">
      <c r="B29" s="44"/>
      <c r="C29" s="327"/>
      <c r="D29" s="263"/>
      <c r="E29" s="47"/>
      <c r="F29" s="44"/>
      <c r="G29" s="149" t="str">
        <f t="shared" si="0"/>
        <v/>
      </c>
      <c r="H29" s="44"/>
      <c r="I29" s="44"/>
    </row>
    <row r="30" spans="2:9" s="46" customFormat="1" ht="14.25" customHeight="1">
      <c r="B30" s="44"/>
      <c r="C30" s="327"/>
      <c r="D30" s="263"/>
      <c r="E30" s="45"/>
      <c r="F30" s="44"/>
      <c r="G30" s="149" t="str">
        <f t="shared" si="0"/>
        <v/>
      </c>
      <c r="H30" s="44"/>
      <c r="I30" s="44"/>
    </row>
    <row r="31" spans="2:9" s="46" customFormat="1" ht="14.25" customHeight="1">
      <c r="B31" s="44"/>
      <c r="C31" s="327"/>
      <c r="D31" s="263"/>
      <c r="E31" s="45"/>
      <c r="F31" s="44"/>
      <c r="G31" s="149" t="str">
        <f t="shared" si="0"/>
        <v/>
      </c>
      <c r="H31" s="44"/>
      <c r="I31" s="44"/>
    </row>
    <row r="32" spans="2:9" s="46" customFormat="1" ht="14.25" customHeight="1">
      <c r="B32" s="44"/>
      <c r="C32" s="327"/>
      <c r="D32" s="263"/>
      <c r="E32" s="45"/>
      <c r="F32" s="44"/>
      <c r="G32" s="149" t="str">
        <f t="shared" si="0"/>
        <v/>
      </c>
      <c r="H32" s="44"/>
      <c r="I32" s="44"/>
    </row>
    <row r="33" spans="2:9" s="46" customFormat="1" ht="14.25" customHeight="1">
      <c r="B33" s="44"/>
      <c r="C33" s="327"/>
      <c r="D33" s="263"/>
      <c r="E33" s="45"/>
      <c r="F33" s="44"/>
      <c r="G33" s="149" t="str">
        <f t="shared" si="0"/>
        <v/>
      </c>
      <c r="H33" s="44"/>
      <c r="I33" s="44"/>
    </row>
    <row r="34" spans="2:9" s="46" customFormat="1" ht="14.25" customHeight="1">
      <c r="B34" s="44"/>
      <c r="C34" s="327"/>
      <c r="D34" s="263"/>
      <c r="E34" s="45"/>
      <c r="F34" s="44"/>
      <c r="G34" s="149" t="str">
        <f t="shared" si="0"/>
        <v/>
      </c>
      <c r="H34" s="44"/>
      <c r="I34" s="44"/>
    </row>
    <row r="35" spans="2:9" s="46" customFormat="1" ht="14.25" customHeight="1">
      <c r="B35" s="44"/>
      <c r="C35" s="327"/>
      <c r="D35" s="263"/>
      <c r="E35" s="45"/>
      <c r="F35" s="44"/>
      <c r="G35" s="149" t="str">
        <f t="shared" si="0"/>
        <v/>
      </c>
      <c r="H35" s="44"/>
      <c r="I35" s="44"/>
    </row>
    <row r="36" spans="2:9" s="46" customFormat="1" ht="14.25" customHeight="1">
      <c r="B36" s="44"/>
      <c r="C36" s="327"/>
      <c r="D36" s="263"/>
      <c r="E36" s="45"/>
      <c r="F36" s="44"/>
      <c r="G36" s="149" t="str">
        <f t="shared" si="0"/>
        <v/>
      </c>
      <c r="H36" s="44"/>
      <c r="I36" s="44"/>
    </row>
    <row r="37" spans="2:9" s="46" customFormat="1" ht="14.25" customHeight="1">
      <c r="B37" s="44"/>
      <c r="C37" s="327"/>
      <c r="D37" s="263"/>
      <c r="E37" s="45"/>
      <c r="F37" s="44"/>
      <c r="G37" s="149" t="str">
        <f t="shared" si="0"/>
        <v/>
      </c>
      <c r="H37" s="44"/>
      <c r="I37" s="44"/>
    </row>
    <row r="38" spans="2:9" s="46" customFormat="1" ht="14.25" customHeight="1">
      <c r="B38" s="44"/>
      <c r="C38" s="327"/>
      <c r="D38" s="263"/>
      <c r="E38" s="45"/>
      <c r="F38" s="44"/>
      <c r="G38" s="149" t="str">
        <f t="shared" si="0"/>
        <v/>
      </c>
      <c r="H38" s="44"/>
      <c r="I38" s="44"/>
    </row>
    <row r="39" spans="2:9" s="46" customFormat="1" ht="14.25" customHeight="1">
      <c r="B39" s="44"/>
      <c r="C39" s="327"/>
      <c r="D39" s="263"/>
      <c r="E39" s="45"/>
      <c r="F39" s="44"/>
      <c r="G39" s="149" t="str">
        <f t="shared" si="0"/>
        <v/>
      </c>
      <c r="H39" s="44"/>
      <c r="I39" s="44"/>
    </row>
    <row r="40" spans="2:9" s="46" customFormat="1" ht="14.25" customHeight="1">
      <c r="B40" s="44"/>
      <c r="C40" s="327"/>
      <c r="D40" s="263"/>
      <c r="E40" s="45"/>
      <c r="F40" s="44"/>
      <c r="G40" s="149" t="str">
        <f t="shared" si="0"/>
        <v/>
      </c>
      <c r="H40" s="44"/>
      <c r="I40" s="44"/>
    </row>
    <row r="41" spans="2:9" s="46" customFormat="1" ht="14.25" customHeight="1">
      <c r="B41" s="44"/>
      <c r="C41" s="327"/>
      <c r="D41" s="263"/>
      <c r="E41" s="45"/>
      <c r="F41" s="44"/>
      <c r="G41" s="149" t="str">
        <f t="shared" si="0"/>
        <v/>
      </c>
      <c r="H41" s="44"/>
      <c r="I41" s="44"/>
    </row>
    <row r="42" spans="2:9" s="46" customFormat="1" ht="14.25" customHeight="1">
      <c r="B42" s="44"/>
      <c r="C42" s="327"/>
      <c r="D42" s="263"/>
      <c r="E42" s="45"/>
      <c r="F42" s="44"/>
      <c r="G42" s="149" t="str">
        <f t="shared" ref="G42:G73" si="1">IF(F42="ALI",35,IF(F42="AIE",15,""))</f>
        <v/>
      </c>
      <c r="H42" s="44"/>
      <c r="I42" s="44"/>
    </row>
    <row r="43" spans="2:9" s="46" customFormat="1" ht="14.25" customHeight="1">
      <c r="B43" s="44"/>
      <c r="C43" s="327"/>
      <c r="D43" s="263"/>
      <c r="E43" s="45"/>
      <c r="F43" s="44"/>
      <c r="G43" s="149" t="str">
        <f t="shared" si="1"/>
        <v/>
      </c>
      <c r="H43" s="44"/>
      <c r="I43" s="44"/>
    </row>
    <row r="44" spans="2:9" s="46" customFormat="1" ht="14.25" customHeight="1">
      <c r="B44" s="44"/>
      <c r="C44" s="327"/>
      <c r="D44" s="263"/>
      <c r="E44" s="45"/>
      <c r="F44" s="44"/>
      <c r="G44" s="149" t="str">
        <f t="shared" si="1"/>
        <v/>
      </c>
      <c r="H44" s="44"/>
      <c r="I44" s="44"/>
    </row>
    <row r="45" spans="2:9" s="46" customFormat="1" ht="14.25" customHeight="1">
      <c r="B45" s="44"/>
      <c r="C45" s="327"/>
      <c r="D45" s="263"/>
      <c r="E45" s="45"/>
      <c r="F45" s="44"/>
      <c r="G45" s="149" t="str">
        <f t="shared" si="1"/>
        <v/>
      </c>
      <c r="H45" s="44"/>
      <c r="I45" s="44"/>
    </row>
    <row r="46" spans="2:9" s="46" customFormat="1" ht="14.25" customHeight="1">
      <c r="B46" s="44"/>
      <c r="C46" s="327"/>
      <c r="D46" s="263"/>
      <c r="E46" s="45"/>
      <c r="F46" s="44"/>
      <c r="G46" s="149" t="str">
        <f t="shared" si="1"/>
        <v/>
      </c>
      <c r="H46" s="44"/>
      <c r="I46" s="44"/>
    </row>
    <row r="47" spans="2:9" s="46" customFormat="1" ht="14.25" customHeight="1">
      <c r="B47" s="44"/>
      <c r="C47" s="327"/>
      <c r="D47" s="263"/>
      <c r="E47" s="45"/>
      <c r="F47" s="44"/>
      <c r="G47" s="149" t="str">
        <f t="shared" si="1"/>
        <v/>
      </c>
      <c r="H47" s="44"/>
      <c r="I47" s="44"/>
    </row>
    <row r="48" spans="2:9" s="46" customFormat="1" ht="14.25" customHeight="1">
      <c r="B48" s="44"/>
      <c r="C48" s="327"/>
      <c r="D48" s="263"/>
      <c r="E48" s="45"/>
      <c r="F48" s="44"/>
      <c r="G48" s="149" t="str">
        <f t="shared" si="1"/>
        <v/>
      </c>
      <c r="H48" s="44"/>
      <c r="I48" s="44"/>
    </row>
    <row r="49" spans="2:9" s="46" customFormat="1" ht="14.25" customHeight="1">
      <c r="B49" s="44"/>
      <c r="C49" s="327"/>
      <c r="D49" s="263"/>
      <c r="E49" s="45"/>
      <c r="F49" s="44"/>
      <c r="G49" s="149" t="str">
        <f t="shared" si="1"/>
        <v/>
      </c>
      <c r="H49" s="44"/>
      <c r="I49" s="44"/>
    </row>
    <row r="50" spans="2:9" s="46" customFormat="1" ht="14.25" customHeight="1">
      <c r="B50" s="44"/>
      <c r="C50" s="327"/>
      <c r="D50" s="263"/>
      <c r="E50" s="45"/>
      <c r="F50" s="44"/>
      <c r="G50" s="149" t="str">
        <f t="shared" si="1"/>
        <v/>
      </c>
      <c r="H50" s="44"/>
      <c r="I50" s="44"/>
    </row>
    <row r="51" spans="2:9" s="46" customFormat="1" ht="14.25" customHeight="1">
      <c r="B51" s="44"/>
      <c r="C51" s="327"/>
      <c r="D51" s="263"/>
      <c r="E51" s="45"/>
      <c r="F51" s="44"/>
      <c r="G51" s="149" t="str">
        <f t="shared" si="1"/>
        <v/>
      </c>
      <c r="H51" s="44"/>
      <c r="I51" s="44"/>
    </row>
    <row r="52" spans="2:9" s="46" customFormat="1" ht="14.25" customHeight="1">
      <c r="B52" s="44"/>
      <c r="C52" s="327"/>
      <c r="D52" s="263"/>
      <c r="E52" s="45"/>
      <c r="F52" s="44"/>
      <c r="G52" s="149" t="str">
        <f t="shared" si="1"/>
        <v/>
      </c>
      <c r="H52" s="44"/>
      <c r="I52" s="44"/>
    </row>
    <row r="53" spans="2:9" s="46" customFormat="1" ht="14.25" customHeight="1">
      <c r="B53" s="44"/>
      <c r="C53" s="327"/>
      <c r="D53" s="263"/>
      <c r="E53" s="45"/>
      <c r="F53" s="44"/>
      <c r="G53" s="149" t="str">
        <f t="shared" si="1"/>
        <v/>
      </c>
      <c r="H53" s="44"/>
      <c r="I53" s="44"/>
    </row>
    <row r="54" spans="2:9" s="46" customFormat="1" ht="14.25" customHeight="1">
      <c r="B54" s="44"/>
      <c r="C54" s="327"/>
      <c r="D54" s="263"/>
      <c r="E54" s="45"/>
      <c r="F54" s="44"/>
      <c r="G54" s="149" t="str">
        <f t="shared" si="1"/>
        <v/>
      </c>
      <c r="H54" s="44"/>
      <c r="I54" s="44"/>
    </row>
    <row r="55" spans="2:9" s="46" customFormat="1" ht="14.25" customHeight="1">
      <c r="B55" s="44"/>
      <c r="C55" s="327"/>
      <c r="D55" s="263"/>
      <c r="E55" s="45"/>
      <c r="F55" s="44"/>
      <c r="G55" s="149" t="str">
        <f t="shared" si="1"/>
        <v/>
      </c>
      <c r="H55" s="44"/>
      <c r="I55" s="44"/>
    </row>
    <row r="56" spans="2:9" s="46" customFormat="1" ht="14.25" customHeight="1">
      <c r="B56" s="44"/>
      <c r="C56" s="327"/>
      <c r="D56" s="263"/>
      <c r="E56" s="45"/>
      <c r="F56" s="44"/>
      <c r="G56" s="149" t="str">
        <f t="shared" si="1"/>
        <v/>
      </c>
      <c r="H56" s="44"/>
      <c r="I56" s="44"/>
    </row>
    <row r="57" spans="2:9" s="46" customFormat="1" ht="14.25" customHeight="1">
      <c r="B57" s="44"/>
      <c r="C57" s="327"/>
      <c r="D57" s="263"/>
      <c r="E57" s="45"/>
      <c r="F57" s="44"/>
      <c r="G57" s="149" t="str">
        <f t="shared" si="1"/>
        <v/>
      </c>
      <c r="H57" s="44"/>
      <c r="I57" s="44"/>
    </row>
    <row r="58" spans="2:9" s="46" customFormat="1" ht="14.25" customHeight="1">
      <c r="B58" s="44"/>
      <c r="C58" s="327"/>
      <c r="D58" s="263"/>
      <c r="E58" s="45"/>
      <c r="F58" s="44"/>
      <c r="G58" s="149" t="str">
        <f t="shared" si="1"/>
        <v/>
      </c>
      <c r="H58" s="44"/>
      <c r="I58" s="44"/>
    </row>
    <row r="59" spans="2:9" s="46" customFormat="1" ht="14.25" customHeight="1">
      <c r="B59" s="44"/>
      <c r="C59" s="327"/>
      <c r="D59" s="263"/>
      <c r="E59" s="45"/>
      <c r="F59" s="44"/>
      <c r="G59" s="149" t="str">
        <f t="shared" si="1"/>
        <v/>
      </c>
      <c r="H59" s="44"/>
      <c r="I59" s="44"/>
    </row>
    <row r="60" spans="2:9" s="46" customFormat="1" ht="14.25" customHeight="1">
      <c r="B60" s="44"/>
      <c r="C60" s="327"/>
      <c r="D60" s="263"/>
      <c r="E60" s="45"/>
      <c r="F60" s="44"/>
      <c r="G60" s="149" t="str">
        <f t="shared" si="1"/>
        <v/>
      </c>
      <c r="H60" s="44"/>
      <c r="I60" s="44"/>
    </row>
    <row r="61" spans="2:9" s="46" customFormat="1" ht="14.25" customHeight="1">
      <c r="B61" s="44"/>
      <c r="C61" s="327"/>
      <c r="D61" s="263"/>
      <c r="E61" s="45"/>
      <c r="F61" s="44"/>
      <c r="G61" s="149" t="str">
        <f t="shared" si="1"/>
        <v/>
      </c>
      <c r="H61" s="44"/>
      <c r="I61" s="44"/>
    </row>
    <row r="62" spans="2:9" s="46" customFormat="1" ht="14.25" customHeight="1">
      <c r="B62" s="44"/>
      <c r="C62" s="327"/>
      <c r="D62" s="263"/>
      <c r="E62" s="45"/>
      <c r="F62" s="44"/>
      <c r="G62" s="149" t="str">
        <f t="shared" si="1"/>
        <v/>
      </c>
      <c r="H62" s="44"/>
      <c r="I62" s="44"/>
    </row>
    <row r="63" spans="2:9" s="46" customFormat="1" ht="14.25" customHeight="1">
      <c r="B63" s="44"/>
      <c r="C63" s="327"/>
      <c r="D63" s="263"/>
      <c r="E63" s="45"/>
      <c r="F63" s="44"/>
      <c r="G63" s="149" t="str">
        <f t="shared" si="1"/>
        <v/>
      </c>
      <c r="H63" s="44"/>
      <c r="I63" s="44"/>
    </row>
    <row r="64" spans="2:9" s="46" customFormat="1" ht="14.25" customHeight="1">
      <c r="B64" s="44"/>
      <c r="C64" s="327"/>
      <c r="D64" s="263"/>
      <c r="E64" s="45"/>
      <c r="F64" s="44"/>
      <c r="G64" s="149" t="str">
        <f t="shared" si="1"/>
        <v/>
      </c>
      <c r="H64" s="44"/>
      <c r="I64" s="44"/>
    </row>
    <row r="65" spans="2:9" s="46" customFormat="1" ht="14.25" customHeight="1">
      <c r="B65" s="44"/>
      <c r="C65" s="327"/>
      <c r="D65" s="263"/>
      <c r="E65" s="45"/>
      <c r="F65" s="44"/>
      <c r="G65" s="149" t="str">
        <f t="shared" si="1"/>
        <v/>
      </c>
      <c r="H65" s="44"/>
      <c r="I65" s="44"/>
    </row>
    <row r="66" spans="2:9" s="46" customFormat="1" ht="14.25" customHeight="1">
      <c r="B66" s="44"/>
      <c r="C66" s="327"/>
      <c r="D66" s="263"/>
      <c r="E66" s="45"/>
      <c r="F66" s="44"/>
      <c r="G66" s="149" t="str">
        <f t="shared" si="1"/>
        <v/>
      </c>
      <c r="H66" s="44"/>
      <c r="I66" s="44"/>
    </row>
    <row r="67" spans="2:9" s="46" customFormat="1" ht="14.25" customHeight="1">
      <c r="B67" s="44"/>
      <c r="C67" s="327"/>
      <c r="D67" s="263"/>
      <c r="E67" s="45"/>
      <c r="F67" s="44"/>
      <c r="G67" s="149" t="str">
        <f t="shared" si="1"/>
        <v/>
      </c>
      <c r="H67" s="44"/>
      <c r="I67" s="44"/>
    </row>
    <row r="68" spans="2:9" s="46" customFormat="1" ht="14.25" customHeight="1">
      <c r="B68" s="44"/>
      <c r="C68" s="327"/>
      <c r="D68" s="263"/>
      <c r="E68" s="45"/>
      <c r="F68" s="44"/>
      <c r="G68" s="149" t="str">
        <f t="shared" si="1"/>
        <v/>
      </c>
      <c r="H68" s="44"/>
      <c r="I68" s="44"/>
    </row>
    <row r="69" spans="2:9" s="46" customFormat="1" ht="14.25" customHeight="1">
      <c r="B69" s="44"/>
      <c r="C69" s="327"/>
      <c r="D69" s="263"/>
      <c r="E69" s="45"/>
      <c r="F69" s="44"/>
      <c r="G69" s="149" t="str">
        <f t="shared" si="1"/>
        <v/>
      </c>
      <c r="H69" s="44"/>
      <c r="I69" s="44"/>
    </row>
    <row r="70" spans="2:9" s="46" customFormat="1" ht="14.25" customHeight="1">
      <c r="B70" s="44"/>
      <c r="C70" s="327"/>
      <c r="D70" s="263"/>
      <c r="E70" s="45"/>
      <c r="F70" s="44"/>
      <c r="G70" s="149" t="str">
        <f t="shared" si="1"/>
        <v/>
      </c>
      <c r="H70" s="44"/>
      <c r="I70" s="44"/>
    </row>
    <row r="71" spans="2:9" s="46" customFormat="1" ht="14.25" customHeight="1">
      <c r="B71" s="44"/>
      <c r="C71" s="327"/>
      <c r="D71" s="263"/>
      <c r="E71" s="45"/>
      <c r="F71" s="44"/>
      <c r="G71" s="149" t="str">
        <f t="shared" si="1"/>
        <v/>
      </c>
      <c r="H71" s="44"/>
      <c r="I71" s="44"/>
    </row>
    <row r="72" spans="2:9" s="46" customFormat="1" ht="14.25" customHeight="1">
      <c r="B72" s="44"/>
      <c r="C72" s="327"/>
      <c r="D72" s="263"/>
      <c r="E72" s="45"/>
      <c r="F72" s="44"/>
      <c r="G72" s="149" t="str">
        <f t="shared" si="1"/>
        <v/>
      </c>
      <c r="H72" s="44"/>
      <c r="I72" s="44"/>
    </row>
    <row r="73" spans="2:9" s="46" customFormat="1" ht="14.25" customHeight="1">
      <c r="B73" s="44"/>
      <c r="C73" s="327"/>
      <c r="D73" s="263"/>
      <c r="E73" s="45"/>
      <c r="F73" s="44"/>
      <c r="G73" s="149" t="str">
        <f t="shared" si="1"/>
        <v/>
      </c>
      <c r="H73" s="44"/>
      <c r="I73" s="44"/>
    </row>
    <row r="74" spans="2:9" s="46" customFormat="1" ht="14.25" customHeight="1">
      <c r="B74" s="44"/>
      <c r="C74" s="327"/>
      <c r="D74" s="263"/>
      <c r="E74" s="45"/>
      <c r="F74" s="44"/>
      <c r="G74" s="149" t="str">
        <f t="shared" ref="G74:G105" si="2">IF(F74="ALI",35,IF(F74="AIE",15,""))</f>
        <v/>
      </c>
      <c r="H74" s="44"/>
      <c r="I74" s="44"/>
    </row>
    <row r="75" spans="2:9" s="46" customFormat="1" ht="14.25" customHeight="1">
      <c r="B75" s="44"/>
      <c r="C75" s="327"/>
      <c r="D75" s="263"/>
      <c r="E75" s="45"/>
      <c r="F75" s="44"/>
      <c r="G75" s="149" t="str">
        <f t="shared" si="2"/>
        <v/>
      </c>
      <c r="H75" s="44"/>
      <c r="I75" s="44"/>
    </row>
    <row r="76" spans="2:9" s="46" customFormat="1" ht="14.25" customHeight="1">
      <c r="B76" s="44"/>
      <c r="C76" s="327"/>
      <c r="D76" s="263"/>
      <c r="E76" s="45"/>
      <c r="F76" s="44"/>
      <c r="G76" s="149" t="str">
        <f t="shared" si="2"/>
        <v/>
      </c>
      <c r="H76" s="44"/>
      <c r="I76" s="44"/>
    </row>
    <row r="77" spans="2:9" s="46" customFormat="1" ht="14.25" customHeight="1">
      <c r="B77" s="44"/>
      <c r="C77" s="327"/>
      <c r="D77" s="263"/>
      <c r="E77" s="45"/>
      <c r="F77" s="44"/>
      <c r="G77" s="149" t="str">
        <f t="shared" si="2"/>
        <v/>
      </c>
      <c r="H77" s="44"/>
      <c r="I77" s="44"/>
    </row>
    <row r="78" spans="2:9" s="46" customFormat="1" ht="14.25" customHeight="1">
      <c r="B78" s="44"/>
      <c r="C78" s="327"/>
      <c r="D78" s="263"/>
      <c r="E78" s="45"/>
      <c r="F78" s="44"/>
      <c r="G78" s="149" t="str">
        <f t="shared" si="2"/>
        <v/>
      </c>
      <c r="H78" s="44"/>
      <c r="I78" s="44"/>
    </row>
    <row r="79" spans="2:9" s="46" customFormat="1" ht="14.25" customHeight="1">
      <c r="B79" s="44"/>
      <c r="C79" s="327"/>
      <c r="D79" s="263"/>
      <c r="E79" s="45"/>
      <c r="F79" s="44"/>
      <c r="G79" s="149" t="str">
        <f t="shared" si="2"/>
        <v/>
      </c>
      <c r="H79" s="44"/>
      <c r="I79" s="44"/>
    </row>
    <row r="80" spans="2:9" s="46" customFormat="1" ht="14.25" customHeight="1">
      <c r="B80" s="44"/>
      <c r="C80" s="327"/>
      <c r="D80" s="263"/>
      <c r="E80" s="45"/>
      <c r="F80" s="44"/>
      <c r="G80" s="149" t="str">
        <f t="shared" si="2"/>
        <v/>
      </c>
      <c r="H80" s="44"/>
      <c r="I80" s="44"/>
    </row>
    <row r="81" spans="2:9" s="46" customFormat="1" ht="14.25" customHeight="1">
      <c r="B81" s="44"/>
      <c r="C81" s="327"/>
      <c r="D81" s="263"/>
      <c r="E81" s="45"/>
      <c r="F81" s="44"/>
      <c r="G81" s="149" t="str">
        <f t="shared" si="2"/>
        <v/>
      </c>
      <c r="H81" s="44"/>
      <c r="I81" s="44"/>
    </row>
    <row r="82" spans="2:9" s="46" customFormat="1" ht="14.25" customHeight="1">
      <c r="B82" s="44"/>
      <c r="C82" s="327"/>
      <c r="D82" s="263"/>
      <c r="E82" s="45"/>
      <c r="F82" s="44"/>
      <c r="G82" s="149" t="str">
        <f t="shared" si="2"/>
        <v/>
      </c>
      <c r="H82" s="44"/>
      <c r="I82" s="44"/>
    </row>
    <row r="83" spans="2:9" s="46" customFormat="1" ht="14.25" customHeight="1">
      <c r="B83" s="44"/>
      <c r="C83" s="327"/>
      <c r="D83" s="263"/>
      <c r="E83" s="45"/>
      <c r="F83" s="44"/>
      <c r="G83" s="149" t="str">
        <f t="shared" si="2"/>
        <v/>
      </c>
      <c r="H83" s="44"/>
      <c r="I83" s="44"/>
    </row>
    <row r="84" spans="2:9" s="46" customFormat="1" ht="14.25" customHeight="1">
      <c r="B84" s="44"/>
      <c r="C84" s="327"/>
      <c r="D84" s="263"/>
      <c r="E84" s="45"/>
      <c r="F84" s="44"/>
      <c r="G84" s="149" t="str">
        <f t="shared" si="2"/>
        <v/>
      </c>
      <c r="H84" s="44"/>
      <c r="I84" s="44"/>
    </row>
    <row r="85" spans="2:9" s="46" customFormat="1" ht="14.25" customHeight="1">
      <c r="B85" s="44"/>
      <c r="C85" s="327"/>
      <c r="D85" s="263"/>
      <c r="E85" s="45"/>
      <c r="F85" s="44"/>
      <c r="G85" s="149" t="str">
        <f t="shared" si="2"/>
        <v/>
      </c>
      <c r="H85" s="44"/>
      <c r="I85" s="44"/>
    </row>
    <row r="86" spans="2:9" s="46" customFormat="1" ht="14.25" customHeight="1">
      <c r="B86" s="44"/>
      <c r="C86" s="327"/>
      <c r="D86" s="263"/>
      <c r="E86" s="45"/>
      <c r="F86" s="44"/>
      <c r="G86" s="149" t="str">
        <f t="shared" si="2"/>
        <v/>
      </c>
      <c r="H86" s="44"/>
      <c r="I86" s="44"/>
    </row>
    <row r="87" spans="2:9" s="46" customFormat="1" ht="14.25" customHeight="1">
      <c r="B87" s="44"/>
      <c r="C87" s="327"/>
      <c r="D87" s="263"/>
      <c r="E87" s="45"/>
      <c r="F87" s="44"/>
      <c r="G87" s="149" t="str">
        <f t="shared" si="2"/>
        <v/>
      </c>
      <c r="H87" s="44"/>
      <c r="I87" s="44"/>
    </row>
    <row r="88" spans="2:9" s="46" customFormat="1" ht="14.25" customHeight="1">
      <c r="B88" s="44"/>
      <c r="C88" s="327"/>
      <c r="D88" s="263"/>
      <c r="E88" s="45"/>
      <c r="F88" s="44"/>
      <c r="G88" s="149" t="str">
        <f t="shared" si="2"/>
        <v/>
      </c>
      <c r="H88" s="44"/>
      <c r="I88" s="44"/>
    </row>
    <row r="89" spans="2:9" s="46" customFormat="1" ht="14.25" customHeight="1">
      <c r="B89" s="44"/>
      <c r="C89" s="327"/>
      <c r="D89" s="263"/>
      <c r="E89" s="45"/>
      <c r="F89" s="44"/>
      <c r="G89" s="149" t="str">
        <f t="shared" si="2"/>
        <v/>
      </c>
      <c r="H89" s="44"/>
      <c r="I89" s="44"/>
    </row>
    <row r="90" spans="2:9" s="46" customFormat="1" ht="14.25" customHeight="1">
      <c r="B90" s="44"/>
      <c r="C90" s="327"/>
      <c r="D90" s="263"/>
      <c r="E90" s="45"/>
      <c r="F90" s="44"/>
      <c r="G90" s="149" t="str">
        <f t="shared" si="2"/>
        <v/>
      </c>
      <c r="H90" s="44"/>
      <c r="I90" s="44"/>
    </row>
    <row r="91" spans="2:9" s="46" customFormat="1" ht="14.25" customHeight="1">
      <c r="B91" s="44"/>
      <c r="C91" s="327"/>
      <c r="D91" s="263"/>
      <c r="E91" s="45"/>
      <c r="F91" s="44"/>
      <c r="G91" s="149" t="str">
        <f t="shared" si="2"/>
        <v/>
      </c>
      <c r="H91" s="44"/>
      <c r="I91" s="44"/>
    </row>
    <row r="92" spans="2:9" s="46" customFormat="1" ht="14.25" customHeight="1">
      <c r="B92" s="44"/>
      <c r="C92" s="327"/>
      <c r="D92" s="263"/>
      <c r="E92" s="45"/>
      <c r="F92" s="44"/>
      <c r="G92" s="149" t="str">
        <f t="shared" si="2"/>
        <v/>
      </c>
      <c r="H92" s="44"/>
      <c r="I92" s="44"/>
    </row>
    <row r="93" spans="2:9" s="46" customFormat="1" ht="14.25" customHeight="1">
      <c r="B93" s="44"/>
      <c r="C93" s="327"/>
      <c r="D93" s="263"/>
      <c r="E93" s="45"/>
      <c r="F93" s="44"/>
      <c r="G93" s="149" t="str">
        <f t="shared" si="2"/>
        <v/>
      </c>
      <c r="H93" s="44"/>
      <c r="I93" s="44"/>
    </row>
    <row r="94" spans="2:9" s="46" customFormat="1" ht="14.25" customHeight="1">
      <c r="B94" s="44"/>
      <c r="C94" s="327"/>
      <c r="D94" s="263"/>
      <c r="E94" s="45"/>
      <c r="F94" s="44"/>
      <c r="G94" s="149" t="str">
        <f t="shared" si="2"/>
        <v/>
      </c>
      <c r="H94" s="44"/>
      <c r="I94" s="44"/>
    </row>
    <row r="95" spans="2:9" s="46" customFormat="1" ht="14.25" customHeight="1">
      <c r="B95" s="44"/>
      <c r="C95" s="327"/>
      <c r="D95" s="263"/>
      <c r="E95" s="45"/>
      <c r="F95" s="44"/>
      <c r="G95" s="149" t="str">
        <f t="shared" si="2"/>
        <v/>
      </c>
      <c r="H95" s="44"/>
      <c r="I95" s="44"/>
    </row>
    <row r="96" spans="2:9" s="46" customFormat="1" ht="14.25" customHeight="1">
      <c r="B96" s="44"/>
      <c r="C96" s="327"/>
      <c r="D96" s="263"/>
      <c r="E96" s="45"/>
      <c r="F96" s="44"/>
      <c r="G96" s="149" t="str">
        <f t="shared" si="2"/>
        <v/>
      </c>
      <c r="H96" s="44"/>
      <c r="I96" s="44"/>
    </row>
    <row r="97" spans="2:9" s="46" customFormat="1" ht="14.25" customHeight="1">
      <c r="B97" s="44"/>
      <c r="C97" s="327"/>
      <c r="D97" s="263"/>
      <c r="E97" s="45"/>
      <c r="F97" s="44"/>
      <c r="G97" s="149" t="str">
        <f t="shared" si="2"/>
        <v/>
      </c>
      <c r="H97" s="44"/>
      <c r="I97" s="44"/>
    </row>
    <row r="98" spans="2:9" s="46" customFormat="1" ht="14.25" customHeight="1">
      <c r="B98" s="44"/>
      <c r="C98" s="327"/>
      <c r="D98" s="263"/>
      <c r="E98" s="45"/>
      <c r="F98" s="44"/>
      <c r="G98" s="149" t="str">
        <f t="shared" si="2"/>
        <v/>
      </c>
      <c r="H98" s="44"/>
      <c r="I98" s="44"/>
    </row>
    <row r="99" spans="2:9" s="46" customFormat="1" ht="14.25" customHeight="1">
      <c r="B99" s="44"/>
      <c r="C99" s="327"/>
      <c r="D99" s="263"/>
      <c r="E99" s="45"/>
      <c r="F99" s="44"/>
      <c r="G99" s="149" t="str">
        <f t="shared" si="2"/>
        <v/>
      </c>
      <c r="H99" s="44"/>
      <c r="I99" s="44"/>
    </row>
    <row r="100" spans="2:9" s="46" customFormat="1" ht="14.25" customHeight="1">
      <c r="B100" s="44"/>
      <c r="C100" s="327"/>
      <c r="D100" s="263"/>
      <c r="E100" s="45"/>
      <c r="F100" s="44"/>
      <c r="G100" s="149" t="str">
        <f t="shared" si="2"/>
        <v/>
      </c>
      <c r="H100" s="44"/>
      <c r="I100" s="44"/>
    </row>
    <row r="101" spans="2:9" s="46" customFormat="1" ht="14.25" customHeight="1">
      <c r="B101" s="44"/>
      <c r="C101" s="327"/>
      <c r="D101" s="263"/>
      <c r="E101" s="45"/>
      <c r="F101" s="44"/>
      <c r="G101" s="149" t="str">
        <f t="shared" si="2"/>
        <v/>
      </c>
      <c r="H101" s="44"/>
      <c r="I101" s="44"/>
    </row>
    <row r="102" spans="2:9" s="46" customFormat="1" ht="14.25" customHeight="1">
      <c r="B102" s="44"/>
      <c r="C102" s="327"/>
      <c r="D102" s="263"/>
      <c r="E102" s="45"/>
      <c r="F102" s="44"/>
      <c r="G102" s="149" t="str">
        <f t="shared" si="2"/>
        <v/>
      </c>
      <c r="H102" s="44"/>
      <c r="I102" s="44"/>
    </row>
    <row r="103" spans="2:9" s="46" customFormat="1" ht="14.25" customHeight="1">
      <c r="B103" s="44"/>
      <c r="C103" s="327"/>
      <c r="D103" s="263"/>
      <c r="E103" s="45"/>
      <c r="F103" s="44"/>
      <c r="G103" s="149" t="str">
        <f t="shared" si="2"/>
        <v/>
      </c>
      <c r="H103" s="44"/>
      <c r="I103" s="44"/>
    </row>
    <row r="104" spans="2:9" s="46" customFormat="1" ht="14.25" customHeight="1">
      <c r="B104" s="44"/>
      <c r="C104" s="327"/>
      <c r="D104" s="263"/>
      <c r="E104" s="45"/>
      <c r="F104" s="44"/>
      <c r="G104" s="149" t="str">
        <f t="shared" si="2"/>
        <v/>
      </c>
      <c r="H104" s="44"/>
      <c r="I104" s="44"/>
    </row>
    <row r="105" spans="2:9" s="46" customFormat="1" ht="14.25" customHeight="1">
      <c r="B105" s="44"/>
      <c r="C105" s="327"/>
      <c r="D105" s="263"/>
      <c r="E105" s="45"/>
      <c r="F105" s="44"/>
      <c r="G105" s="149" t="str">
        <f t="shared" si="2"/>
        <v/>
      </c>
      <c r="H105" s="44"/>
      <c r="I105" s="44"/>
    </row>
    <row r="106" spans="2:9" s="46" customFormat="1" ht="14.25" customHeight="1">
      <c r="B106" s="44"/>
      <c r="C106" s="327"/>
      <c r="D106" s="263"/>
      <c r="E106" s="45"/>
      <c r="F106" s="44"/>
      <c r="G106" s="149" t="str">
        <f t="shared" ref="G106:G107" si="3">IF(F106="ALI",35,IF(F106="AIE",15,""))</f>
        <v/>
      </c>
      <c r="H106" s="44"/>
      <c r="I106" s="44"/>
    </row>
    <row r="107" spans="2:9" s="46" customFormat="1" ht="14.25" customHeight="1">
      <c r="B107" s="44"/>
      <c r="C107" s="327"/>
      <c r="D107" s="263"/>
      <c r="E107" s="45"/>
      <c r="F107" s="44"/>
      <c r="G107" s="149" t="str">
        <f t="shared" si="3"/>
        <v/>
      </c>
      <c r="H107" s="44"/>
      <c r="I107" s="44"/>
    </row>
    <row r="108" spans="2:9" s="46" customFormat="1" ht="14.25" customHeight="1">
      <c r="B108" s="276" t="s">
        <v>81</v>
      </c>
      <c r="C108" s="262"/>
      <c r="D108" s="262"/>
      <c r="E108" s="262"/>
      <c r="F108" s="262"/>
      <c r="G108" s="262"/>
      <c r="H108" s="262"/>
      <c r="I108" s="263"/>
    </row>
    <row r="109" spans="2:9">
      <c r="B109" s="333"/>
      <c r="C109" s="262"/>
      <c r="D109" s="263"/>
      <c r="E109" s="317" t="s">
        <v>115</v>
      </c>
      <c r="F109" s="283"/>
      <c r="G109" s="158">
        <f>SUM(G10:G108)</f>
        <v>0</v>
      </c>
      <c r="H109" s="332"/>
      <c r="I109" s="263"/>
    </row>
    <row r="120" spans="2:27" s="34" customFormat="1">
      <c r="B120" s="51"/>
      <c r="C120" s="51"/>
      <c r="D120" s="51"/>
      <c r="E120" s="52"/>
      <c r="G120" s="21"/>
      <c r="H120" s="21"/>
      <c r="I120" s="21"/>
      <c r="J120" s="21"/>
      <c r="K120" s="21"/>
      <c r="L120" s="21"/>
      <c r="M120" s="21"/>
      <c r="N120" s="21"/>
      <c r="O120" s="21"/>
      <c r="P120" s="21"/>
      <c r="Q120" s="21"/>
      <c r="R120" s="21"/>
      <c r="S120" s="21"/>
      <c r="T120" s="21"/>
      <c r="U120" s="21"/>
      <c r="V120" s="21"/>
      <c r="W120" s="21"/>
      <c r="X120" s="21"/>
      <c r="Y120" s="21"/>
      <c r="Z120" s="21"/>
      <c r="AA120" s="21"/>
    </row>
    <row r="121" spans="2:27" s="34" customFormat="1">
      <c r="B121" s="51"/>
      <c r="C121" s="51"/>
      <c r="D121" s="51"/>
      <c r="E121" s="52"/>
      <c r="G121" s="21"/>
      <c r="H121" s="21"/>
      <c r="I121" s="21"/>
      <c r="J121" s="21"/>
      <c r="K121" s="21"/>
      <c r="L121" s="21"/>
      <c r="M121" s="21"/>
      <c r="N121" s="21"/>
      <c r="O121" s="21"/>
      <c r="P121" s="21"/>
      <c r="Q121" s="21"/>
      <c r="R121" s="21"/>
      <c r="S121" s="21"/>
      <c r="T121" s="21"/>
      <c r="U121" s="21"/>
      <c r="V121" s="21"/>
      <c r="W121" s="21"/>
      <c r="X121" s="21"/>
      <c r="Y121" s="21"/>
      <c r="Z121" s="21"/>
      <c r="AA121" s="21"/>
    </row>
  </sheetData>
  <mergeCells count="119">
    <mergeCell ref="E109:F109"/>
    <mergeCell ref="C87:D87"/>
    <mergeCell ref="B108:I108"/>
    <mergeCell ref="C1:I1"/>
    <mergeCell ref="E3:G3"/>
    <mergeCell ref="C39:D39"/>
    <mergeCell ref="D5:D6"/>
    <mergeCell ref="C72:D72"/>
    <mergeCell ref="E5:G5"/>
    <mergeCell ref="C81:D81"/>
    <mergeCell ref="C37:D37"/>
    <mergeCell ref="C13:D13"/>
    <mergeCell ref="C96:D96"/>
    <mergeCell ref="C78:D78"/>
    <mergeCell ref="E4:G4"/>
    <mergeCell ref="C49:D49"/>
    <mergeCell ref="C101:D101"/>
    <mergeCell ref="C24:D24"/>
    <mergeCell ref="C33:D33"/>
    <mergeCell ref="C104:D104"/>
    <mergeCell ref="C42:D42"/>
    <mergeCell ref="C74:D74"/>
    <mergeCell ref="H4:I4"/>
    <mergeCell ref="C88:D88"/>
    <mergeCell ref="H6:I6"/>
    <mergeCell ref="C103:D103"/>
    <mergeCell ref="C25:D25"/>
    <mergeCell ref="C99:D99"/>
    <mergeCell ref="C55:D55"/>
    <mergeCell ref="C11:D11"/>
    <mergeCell ref="C52:D52"/>
    <mergeCell ref="E6:G6"/>
    <mergeCell ref="C47:D47"/>
    <mergeCell ref="B5:C6"/>
    <mergeCell ref="C40:D40"/>
    <mergeCell ref="C90:D90"/>
    <mergeCell ref="C83:D83"/>
    <mergeCell ref="C92:D92"/>
    <mergeCell ref="C30:D30"/>
    <mergeCell ref="C45:D45"/>
    <mergeCell ref="C14:D14"/>
    <mergeCell ref="C32:D32"/>
    <mergeCell ref="C38:D38"/>
    <mergeCell ref="C62:D62"/>
    <mergeCell ref="E8:E9"/>
    <mergeCell ref="C15:D15"/>
    <mergeCell ref="C98:D98"/>
    <mergeCell ref="H3:I3"/>
    <mergeCell ref="C91:D91"/>
    <mergeCell ref="C82:D82"/>
    <mergeCell ref="C57:D57"/>
    <mergeCell ref="C66:D66"/>
    <mergeCell ref="H5:I5"/>
    <mergeCell ref="C18:D18"/>
    <mergeCell ref="C102:D102"/>
    <mergeCell ref="C53:D53"/>
    <mergeCell ref="C77:D77"/>
    <mergeCell ref="C34:D34"/>
    <mergeCell ref="C86:D86"/>
    <mergeCell ref="C68:D68"/>
    <mergeCell ref="C58:D58"/>
    <mergeCell ref="C20:D20"/>
    <mergeCell ref="C29:D29"/>
    <mergeCell ref="C85:D85"/>
    <mergeCell ref="C100:D100"/>
    <mergeCell ref="C94:D94"/>
    <mergeCell ref="C65:D65"/>
    <mergeCell ref="C84:D84"/>
    <mergeCell ref="C75:D75"/>
    <mergeCell ref="C44:D44"/>
    <mergeCell ref="C22:D22"/>
    <mergeCell ref="H109:I109"/>
    <mergeCell ref="C60:D60"/>
    <mergeCell ref="C71:D71"/>
    <mergeCell ref="B109:D109"/>
    <mergeCell ref="B8:B9"/>
    <mergeCell ref="C80:D80"/>
    <mergeCell ref="C31:D31"/>
    <mergeCell ref="C59:D59"/>
    <mergeCell ref="F8:G8"/>
    <mergeCell ref="C12:D12"/>
    <mergeCell ref="C46:D46"/>
    <mergeCell ref="C21:D21"/>
    <mergeCell ref="I8:I9"/>
    <mergeCell ref="C95:D95"/>
    <mergeCell ref="C51:D51"/>
    <mergeCell ref="C61:D61"/>
    <mergeCell ref="C70:D70"/>
    <mergeCell ref="C48:D48"/>
    <mergeCell ref="C23:D23"/>
    <mergeCell ref="H8:H9"/>
    <mergeCell ref="C67:D67"/>
    <mergeCell ref="C19:D19"/>
    <mergeCell ref="C28:D28"/>
    <mergeCell ref="C69:D69"/>
    <mergeCell ref="C107:D107"/>
    <mergeCell ref="C89:D89"/>
    <mergeCell ref="C64:D64"/>
    <mergeCell ref="C79:D79"/>
    <mergeCell ref="C73:D73"/>
    <mergeCell ref="C8:D9"/>
    <mergeCell ref="C54:D54"/>
    <mergeCell ref="C63:D63"/>
    <mergeCell ref="C41:D41"/>
    <mergeCell ref="C93:D93"/>
    <mergeCell ref="C50:D50"/>
    <mergeCell ref="C56:D56"/>
    <mergeCell ref="C105:D105"/>
    <mergeCell ref="C43:D43"/>
    <mergeCell ref="C76:D76"/>
    <mergeCell ref="C27:D27"/>
    <mergeCell ref="C36:D36"/>
    <mergeCell ref="C17:D17"/>
    <mergeCell ref="C97:D97"/>
    <mergeCell ref="C106:D106"/>
    <mergeCell ref="C26:D26"/>
    <mergeCell ref="C35:D35"/>
    <mergeCell ref="C10:D10"/>
    <mergeCell ref="C16:D16"/>
  </mergeCells>
  <conditionalFormatting sqref="F10:F107">
    <cfRule type="cellIs" priority="1" stopIfTrue="1" operator="between">
      <formula>"Desenvolvimento"</formula>
      <formula>"Manutenção"</formula>
    </cfRule>
  </conditionalFormatting>
  <dataValidations count="1">
    <dataValidation type="list" allowBlank="1" showInputMessage="1" showErrorMessage="1" errorTitle="Erro" error="Selecione uma das opções apresentada" sqref="F10:F107" xr:uid="{00000000-0002-0000-0600-000000000000}">
      <formula1>"-------,ALI,AIE"</formula1>
    </dataValidation>
  </dataValidations>
  <pageMargins left="0.19685039370078741" right="0.19685039370078741" top="0.33" bottom="0.43" header="0.18" footer="0.27559055118110237"/>
  <pageSetup paperSize="9" scale="78" fitToHeight="1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C31"/>
  <sheetViews>
    <sheetView showGridLines="0" zoomScaleNormal="100" workbookViewId="0">
      <selection activeCell="C15" sqref="C15"/>
    </sheetView>
  </sheetViews>
  <sheetFormatPr baseColWidth="10" defaultColWidth="8.83203125" defaultRowHeight="13"/>
  <cols>
    <col min="1" max="1" width="8.83203125" style="34" customWidth="1"/>
    <col min="2" max="2" width="26.5" style="34" customWidth="1"/>
    <col min="3" max="3" width="101.83203125" style="34" customWidth="1"/>
    <col min="4" max="5" width="8.83203125" style="34" customWidth="1"/>
    <col min="6" max="16384" width="8.83203125" style="34"/>
  </cols>
  <sheetData>
    <row r="1" spans="1:3" ht="69" customHeight="1">
      <c r="A1" s="18"/>
      <c r="B1" s="33"/>
      <c r="C1" s="26" t="s">
        <v>116</v>
      </c>
    </row>
    <row r="3" spans="1:3">
      <c r="A3" s="335" t="s">
        <v>117</v>
      </c>
      <c r="B3" s="267"/>
      <c r="C3" s="267"/>
    </row>
    <row r="4" spans="1:3">
      <c r="A4" s="35" t="s">
        <v>94</v>
      </c>
      <c r="B4" s="35" t="s">
        <v>118</v>
      </c>
      <c r="C4" s="35" t="s">
        <v>119</v>
      </c>
    </row>
    <row r="5" spans="1:3" ht="12.5" customHeight="1">
      <c r="A5" s="36"/>
      <c r="B5" s="37"/>
      <c r="C5" s="38"/>
    </row>
    <row r="6" spans="1:3">
      <c r="A6" s="36"/>
      <c r="B6" s="37"/>
      <c r="C6" s="38"/>
    </row>
    <row r="7" spans="1:3">
      <c r="A7" s="36"/>
      <c r="B7" s="37"/>
      <c r="C7" s="38"/>
    </row>
    <row r="8" spans="1:3">
      <c r="A8" s="36"/>
      <c r="B8" s="37"/>
      <c r="C8" s="38"/>
    </row>
    <row r="9" spans="1:3">
      <c r="A9" s="36"/>
      <c r="B9" s="37"/>
      <c r="C9" s="36"/>
    </row>
    <row r="10" spans="1:3">
      <c r="A10" s="36"/>
      <c r="B10" s="37"/>
      <c r="C10" s="36"/>
    </row>
    <row r="11" spans="1:3">
      <c r="A11" s="36"/>
      <c r="B11" s="37"/>
      <c r="C11" s="36"/>
    </row>
    <row r="12" spans="1:3">
      <c r="A12" s="36"/>
      <c r="B12" s="37"/>
      <c r="C12" s="39"/>
    </row>
    <row r="13" spans="1:3">
      <c r="A13" s="36"/>
      <c r="B13" s="37"/>
      <c r="C13" s="39"/>
    </row>
    <row r="14" spans="1:3">
      <c r="A14" s="36"/>
      <c r="B14" s="37"/>
      <c r="C14" s="39"/>
    </row>
    <row r="15" spans="1:3">
      <c r="A15" s="36"/>
      <c r="B15" s="37"/>
      <c r="C15" s="39"/>
    </row>
    <row r="16" spans="1:3">
      <c r="A16" s="36"/>
      <c r="B16" s="37"/>
      <c r="C16" s="39"/>
    </row>
    <row r="17" spans="1:3">
      <c r="A17" s="36"/>
      <c r="B17" s="37"/>
      <c r="C17" s="39"/>
    </row>
    <row r="18" spans="1:3">
      <c r="A18" s="36"/>
      <c r="B18" s="37"/>
      <c r="C18" s="39"/>
    </row>
    <row r="19" spans="1:3">
      <c r="A19" s="36"/>
      <c r="B19" s="37"/>
      <c r="C19" s="39"/>
    </row>
    <row r="20" spans="1:3">
      <c r="A20" s="36"/>
      <c r="B20" s="37"/>
      <c r="C20" s="39"/>
    </row>
    <row r="21" spans="1:3">
      <c r="A21" s="36"/>
      <c r="B21" s="37"/>
      <c r="C21" s="39"/>
    </row>
    <row r="22" spans="1:3">
      <c r="A22" s="36"/>
      <c r="B22" s="37"/>
      <c r="C22" s="39"/>
    </row>
    <row r="23" spans="1:3">
      <c r="A23" s="36"/>
      <c r="B23" s="37"/>
      <c r="C23" s="39"/>
    </row>
    <row r="24" spans="1:3">
      <c r="A24" s="36"/>
      <c r="B24" s="37"/>
      <c r="C24" s="39"/>
    </row>
    <row r="25" spans="1:3">
      <c r="A25" s="36"/>
      <c r="B25" s="37"/>
      <c r="C25" s="39"/>
    </row>
    <row r="26" spans="1:3">
      <c r="A26" s="36"/>
      <c r="B26" s="37"/>
      <c r="C26" s="39"/>
    </row>
    <row r="27" spans="1:3">
      <c r="A27" s="36"/>
      <c r="B27" s="37"/>
      <c r="C27" s="39"/>
    </row>
    <row r="28" spans="1:3">
      <c r="A28" s="36"/>
      <c r="B28" s="37"/>
      <c r="C28" s="39"/>
    </row>
    <row r="29" spans="1:3">
      <c r="A29" s="36"/>
      <c r="B29" s="37"/>
      <c r="C29" s="39"/>
    </row>
    <row r="30" spans="1:3">
      <c r="A30" s="36"/>
      <c r="B30" s="37"/>
      <c r="C30" s="39"/>
    </row>
    <row r="31" spans="1:3">
      <c r="A31" s="36"/>
      <c r="B31" s="37"/>
      <c r="C31" s="39"/>
    </row>
  </sheetData>
  <mergeCells count="1">
    <mergeCell ref="A3:C3"/>
  </mergeCells>
  <pageMargins left="0.511811024" right="0.511811024" top="0.78740157499999996" bottom="0.78740157499999996" header="0.31496062000000002" footer="0.31496062000000002"/>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sheetPr>
  <dimension ref="A1:S229"/>
  <sheetViews>
    <sheetView showGridLines="0" zoomScaleNormal="100" workbookViewId="0">
      <selection activeCell="H15" sqref="H15"/>
    </sheetView>
  </sheetViews>
  <sheetFormatPr baseColWidth="10" defaultColWidth="9.1640625" defaultRowHeight="13"/>
  <cols>
    <col min="1" max="1" width="1.83203125" style="62" customWidth="1"/>
    <col min="2" max="2" width="11.1640625" style="62" customWidth="1"/>
    <col min="3" max="3" width="11" style="68" customWidth="1"/>
    <col min="4" max="5" width="7" style="62" customWidth="1"/>
    <col min="6" max="6" width="6.5" style="62" customWidth="1"/>
    <col min="7" max="7" width="16.1640625" style="62" customWidth="1"/>
    <col min="8" max="8" width="14.1640625" style="62" customWidth="1"/>
    <col min="9" max="9" width="1.1640625" style="62" customWidth="1"/>
    <col min="10" max="10" width="25.5" style="62" customWidth="1"/>
    <col min="11" max="11" width="10.1640625" style="62" customWidth="1"/>
    <col min="12" max="12" width="8.5" style="62" customWidth="1"/>
    <col min="13" max="13" width="1.1640625" style="62" customWidth="1"/>
    <col min="14" max="14" width="22.83203125" style="62" customWidth="1"/>
    <col min="15" max="15" width="7.5" style="62" customWidth="1"/>
    <col min="16" max="16" width="8" style="62" customWidth="1"/>
    <col min="17" max="17" width="12.5" style="62" customWidth="1"/>
    <col min="18" max="18" width="12.1640625" style="62" customWidth="1"/>
    <col min="19" max="20" width="9.1640625" style="62" customWidth="1"/>
    <col min="21" max="16384" width="9.1640625" style="62"/>
  </cols>
  <sheetData>
    <row r="1" spans="2:18" ht="69.75" customHeight="1" thickBot="1">
      <c r="B1" s="136" t="str">
        <f>Resumo!$A$1</f>
        <v>Contagem de Pontos de Função</v>
      </c>
      <c r="D1" s="374" t="s">
        <v>120</v>
      </c>
      <c r="E1" s="280"/>
      <c r="F1" s="280"/>
      <c r="G1" s="280"/>
      <c r="H1" s="280"/>
      <c r="I1" s="280"/>
      <c r="J1" s="280"/>
      <c r="K1" s="280"/>
      <c r="L1" s="280"/>
      <c r="M1" s="280"/>
      <c r="N1" s="280"/>
      <c r="O1" s="280"/>
      <c r="P1" s="280"/>
      <c r="Q1" s="280"/>
      <c r="R1" s="280"/>
    </row>
    <row r="2" spans="2:18" ht="16.5" customHeight="1" thickBot="1">
      <c r="B2" s="352" t="s">
        <v>121</v>
      </c>
      <c r="C2" s="345"/>
      <c r="D2" s="345"/>
      <c r="E2" s="345"/>
      <c r="F2" s="345"/>
      <c r="G2" s="345"/>
      <c r="H2" s="353"/>
      <c r="I2" s="73"/>
      <c r="J2" s="376" t="str">
        <f>IF(G4="SISP v1.0","PRAZO SISP 1 ATÉ 99 PF","PRAZO SISP 2/2.1 ATÉ 99 PF")</f>
        <v>PRAZO SISP 2/2.1 ATÉ 99 PF</v>
      </c>
      <c r="K2" s="345"/>
      <c r="L2" s="353"/>
      <c r="M2" s="73"/>
      <c r="N2" s="376" t="s">
        <v>122</v>
      </c>
      <c r="O2" s="345"/>
      <c r="P2" s="345"/>
      <c r="Q2" s="345"/>
      <c r="R2" s="353"/>
    </row>
    <row r="3" spans="2:18" ht="15.75" customHeight="1" thickBot="1">
      <c r="B3" s="344" t="s">
        <v>123</v>
      </c>
      <c r="C3" s="345"/>
      <c r="D3" s="345"/>
      <c r="E3" s="345"/>
      <c r="F3" s="345"/>
      <c r="G3" s="349" t="s">
        <v>124</v>
      </c>
      <c r="H3" s="350"/>
      <c r="I3" s="73"/>
      <c r="J3" s="358" t="s">
        <v>125</v>
      </c>
      <c r="K3" s="386" t="str">
        <f>IF(G3="Úteis", "Prazo em dias úteis","Prazo em dias corridos")</f>
        <v>Prazo em dias corridos</v>
      </c>
      <c r="L3" s="387"/>
      <c r="M3" s="73"/>
      <c r="N3" s="358" t="s">
        <v>126</v>
      </c>
      <c r="O3" s="357"/>
      <c r="P3" s="375"/>
      <c r="Q3" s="339" t="s">
        <v>127</v>
      </c>
      <c r="R3" s="340"/>
    </row>
    <row r="4" spans="2:18" ht="15.75" customHeight="1" thickBot="1">
      <c r="B4" s="344" t="s">
        <v>128</v>
      </c>
      <c r="C4" s="345"/>
      <c r="D4" s="345"/>
      <c r="E4" s="345"/>
      <c r="F4" s="345"/>
      <c r="G4" s="349" t="s">
        <v>129</v>
      </c>
      <c r="H4" s="350"/>
      <c r="I4" s="73"/>
      <c r="J4" s="359"/>
      <c r="K4" s="322"/>
      <c r="L4" s="388"/>
      <c r="M4" s="73"/>
      <c r="N4" s="346" t="s">
        <v>130</v>
      </c>
      <c r="O4" s="295"/>
      <c r="P4" s="296"/>
      <c r="Q4" s="384"/>
      <c r="R4" s="385"/>
    </row>
    <row r="5" spans="2:18" ht="35.25" customHeight="1">
      <c r="B5" s="377" t="s">
        <v>131</v>
      </c>
      <c r="C5" s="378"/>
      <c r="D5" s="378"/>
      <c r="E5" s="378"/>
      <c r="F5" s="378"/>
      <c r="G5" s="389" t="s">
        <v>132</v>
      </c>
      <c r="H5" s="75" t="s">
        <v>133</v>
      </c>
      <c r="I5" s="73"/>
      <c r="J5" s="360"/>
      <c r="K5" s="110" t="s">
        <v>134</v>
      </c>
      <c r="L5" s="111" t="s">
        <v>135</v>
      </c>
      <c r="M5" s="73"/>
      <c r="N5" s="346" t="s">
        <v>136</v>
      </c>
      <c r="O5" s="295"/>
      <c r="P5" s="296"/>
      <c r="Q5" s="347">
        <f>IF(AND(Q4&lt;&gt;"",B17&lt;&gt;0),(Q4-G11)+1,B17)</f>
        <v>202</v>
      </c>
      <c r="R5" s="348"/>
    </row>
    <row r="6" spans="2:18" ht="13.5" customHeight="1" thickBot="1">
      <c r="B6" s="371"/>
      <c r="C6" s="342"/>
      <c r="D6" s="342"/>
      <c r="E6" s="342"/>
      <c r="F6" s="342"/>
      <c r="G6" s="390"/>
      <c r="H6" s="76">
        <f>IF(G5="Sistema Comum – Mainframe", 0.33, IF(G5="Sistema Comum – WEB", 0.35, IF(G5="Sistema OO", 0.36, IF(G5="Sistema Cliente/Servidor (Alta complexidade)", 0.37,IF(G5="Sistemas Gerenciais Complexos", 0.39, IF(G5="Software Básico, Framework, Sistemas Comerciais", 0.4, IF(G5="Software Militar *Exclusivo SISP v2.0", 0.45, "ERRO - Selecione o Tipo novamente")))))))</f>
        <v>0.36</v>
      </c>
      <c r="I6" s="73"/>
      <c r="J6" s="112" t="s">
        <v>137</v>
      </c>
      <c r="K6" s="96">
        <v>7</v>
      </c>
      <c r="L6" s="96">
        <v>7</v>
      </c>
      <c r="M6" s="73"/>
      <c r="N6" s="382" t="s">
        <v>138</v>
      </c>
      <c r="O6" s="355"/>
      <c r="P6" s="383"/>
      <c r="Q6" s="337">
        <f>IF(G8&lt;&gt;0,Q5/B17-1,"-")</f>
        <v>0</v>
      </c>
      <c r="R6" s="338"/>
    </row>
    <row r="7" spans="2:18" ht="24" customHeight="1" thickBot="1">
      <c r="B7" s="344" t="s">
        <v>139</v>
      </c>
      <c r="C7" s="345"/>
      <c r="D7" s="345"/>
      <c r="E7" s="345"/>
      <c r="F7" s="345"/>
      <c r="G7" s="368" t="s">
        <v>140</v>
      </c>
      <c r="H7" s="350"/>
      <c r="I7" s="73"/>
      <c r="J7" s="112" t="s">
        <v>141</v>
      </c>
      <c r="K7" s="96">
        <v>13</v>
      </c>
      <c r="L7" s="96">
        <v>13</v>
      </c>
      <c r="M7" s="73"/>
      <c r="N7" s="351"/>
      <c r="O7" s="280"/>
      <c r="P7" s="280"/>
      <c r="Q7" s="126" t="s">
        <v>142</v>
      </c>
      <c r="R7" s="127" t="s">
        <v>143</v>
      </c>
    </row>
    <row r="8" spans="2:18" ht="19.5" customHeight="1" thickBot="1">
      <c r="B8" s="381" t="s">
        <v>144</v>
      </c>
      <c r="C8" s="378"/>
      <c r="D8" s="378"/>
      <c r="E8" s="378"/>
      <c r="F8" s="378"/>
      <c r="G8" s="361">
        <v>200</v>
      </c>
      <c r="H8" s="362"/>
      <c r="I8" s="73"/>
      <c r="J8" s="112" t="s">
        <v>145</v>
      </c>
      <c r="K8" s="96">
        <v>20</v>
      </c>
      <c r="L8" s="96">
        <v>20</v>
      </c>
      <c r="M8" s="73"/>
      <c r="N8" s="356" t="s">
        <v>146</v>
      </c>
      <c r="O8" s="357"/>
      <c r="P8" s="357"/>
      <c r="Q8" s="106" t="str">
        <f>IF(Q5=B17,"-",GROWTH(R22:R24,Q22:Q24,Q6,1))</f>
        <v>-</v>
      </c>
      <c r="R8" s="135" t="str">
        <f>IF(Q5=B17,"-",TREND(R22:R24,Q22:Q24,Q6,0))</f>
        <v>-</v>
      </c>
    </row>
    <row r="9" spans="2:18" ht="15" customHeight="1">
      <c r="B9" s="363" t="s">
        <v>147</v>
      </c>
      <c r="C9" s="364"/>
      <c r="D9" s="367" t="s">
        <v>148</v>
      </c>
      <c r="E9" s="367" t="s">
        <v>149</v>
      </c>
      <c r="F9" s="336" t="s">
        <v>150</v>
      </c>
      <c r="G9" s="336" t="s">
        <v>151</v>
      </c>
      <c r="H9" s="375"/>
      <c r="I9" s="73"/>
      <c r="J9" s="112" t="s">
        <v>152</v>
      </c>
      <c r="K9" s="96">
        <v>26</v>
      </c>
      <c r="L9" s="96">
        <v>26</v>
      </c>
      <c r="M9" s="73"/>
      <c r="N9" s="379" t="s">
        <v>153</v>
      </c>
      <c r="O9" s="380"/>
      <c r="P9" s="380"/>
      <c r="Q9" s="133" t="str">
        <f>IF(Q5=B17,"-",Q8/100+1)</f>
        <v>-</v>
      </c>
      <c r="R9" s="134" t="str">
        <f>IF(Q5=B17,"-",R8/100+1)</f>
        <v>-</v>
      </c>
    </row>
    <row r="10" spans="2:18" ht="19.5" customHeight="1" thickBot="1">
      <c r="B10" s="365"/>
      <c r="C10" s="323"/>
      <c r="D10" s="315"/>
      <c r="E10" s="315"/>
      <c r="F10" s="315"/>
      <c r="G10" s="108" t="s">
        <v>154</v>
      </c>
      <c r="H10" s="109" t="s">
        <v>155</v>
      </c>
      <c r="I10" s="73"/>
      <c r="J10" s="112" t="s">
        <v>156</v>
      </c>
      <c r="K10" s="96">
        <v>33</v>
      </c>
      <c r="L10" s="96">
        <v>33</v>
      </c>
      <c r="M10" s="73"/>
      <c r="N10" s="369" t="s">
        <v>157</v>
      </c>
      <c r="O10" s="355"/>
      <c r="P10" s="355"/>
      <c r="Q10" s="83" t="str">
        <f>IF(Q5=B17,"-",(Q8/100+1)*G8)</f>
        <v>-</v>
      </c>
      <c r="R10" s="84" t="str">
        <f>IF(Q5=B17,"-",(R8/100+1)*G8)</f>
        <v>-</v>
      </c>
    </row>
    <row r="11" spans="2:18" ht="15.75" customHeight="1" thickBot="1">
      <c r="B11" s="366" t="s">
        <v>158</v>
      </c>
      <c r="C11" s="296"/>
      <c r="D11" s="91">
        <v>0.25</v>
      </c>
      <c r="E11" s="191">
        <v>0.25</v>
      </c>
      <c r="F11" s="93">
        <f t="shared" ref="F11:F16" si="0">IF(ISERR($B$17*E11),"ERRO",$B$17*E11)</f>
        <v>50.5</v>
      </c>
      <c r="G11" s="190">
        <v>42369</v>
      </c>
      <c r="H11" s="95">
        <f>IF(E11="",G11,(IF(G11="","-",IF(ISERR(IF(AND((G11&gt;=0),(G11&lt;=2958465)),G11+(F11-1),"-")),"-",IF(AND((G11&gt;=0),(G11&lt;=2958465)),G11+(F11-1),"-")))))</f>
        <v>42418.5</v>
      </c>
      <c r="I11" s="73"/>
      <c r="J11" s="112" t="s">
        <v>159</v>
      </c>
      <c r="K11" s="96">
        <v>39</v>
      </c>
      <c r="L11" s="96">
        <v>39</v>
      </c>
      <c r="M11" s="73"/>
      <c r="N11" s="341" t="s">
        <v>160</v>
      </c>
      <c r="O11" s="342"/>
      <c r="P11" s="342"/>
      <c r="Q11" s="342"/>
      <c r="R11" s="343"/>
    </row>
    <row r="12" spans="2:18" ht="15.75" customHeight="1" thickBot="1">
      <c r="B12" s="366" t="s">
        <v>161</v>
      </c>
      <c r="C12" s="296"/>
      <c r="D12" s="72">
        <f>IF(G4="SISP v1.0",15%,10%)</f>
        <v>0.1</v>
      </c>
      <c r="E12" s="191">
        <v>0.1</v>
      </c>
      <c r="F12" s="93">
        <f t="shared" si="0"/>
        <v>20.200000000000003</v>
      </c>
      <c r="G12" s="94">
        <f>IF(AND((H11&gt;=0),(H11&lt;=2958465)),H11,"-")</f>
        <v>42418.5</v>
      </c>
      <c r="H12" s="95">
        <f>IF(G12="", "-",(IF(AND((G12&gt;=0),(G12&lt;=2958465)),G12+(F12),"-")))</f>
        <v>42438.7</v>
      </c>
      <c r="I12" s="73"/>
      <c r="J12" s="112" t="s">
        <v>162</v>
      </c>
      <c r="K12" s="96">
        <v>46</v>
      </c>
      <c r="L12" s="96">
        <v>46</v>
      </c>
      <c r="M12" s="73"/>
      <c r="N12" s="113" t="s">
        <v>147</v>
      </c>
      <c r="O12" s="114" t="s">
        <v>149</v>
      </c>
      <c r="P12" s="114" t="s">
        <v>150</v>
      </c>
      <c r="Q12" s="115" t="s">
        <v>163</v>
      </c>
      <c r="R12" s="116" t="s">
        <v>164</v>
      </c>
    </row>
    <row r="13" spans="2:18" ht="15" customHeight="1">
      <c r="B13" s="366" t="s">
        <v>27</v>
      </c>
      <c r="C13" s="296"/>
      <c r="D13" s="91">
        <v>0.4</v>
      </c>
      <c r="E13" s="191">
        <v>0.4</v>
      </c>
      <c r="F13" s="93">
        <f t="shared" si="0"/>
        <v>80.800000000000011</v>
      </c>
      <c r="G13" s="94">
        <f>IF(AND((H12&gt;=0),(H12&lt;=2958465)),H12,"-")</f>
        <v>42438.7</v>
      </c>
      <c r="H13" s="95">
        <f>IF(G13="", "-",(IF(AND((G13&gt;=0),(G13&lt;=2958465)),G13+(F13),"-")))</f>
        <v>42519.5</v>
      </c>
      <c r="I13" s="73"/>
      <c r="J13" s="112" t="s">
        <v>165</v>
      </c>
      <c r="K13" s="96">
        <v>52</v>
      </c>
      <c r="L13" s="96">
        <v>52</v>
      </c>
      <c r="M13" s="73"/>
      <c r="N13" s="117" t="s">
        <v>158</v>
      </c>
      <c r="O13" s="118">
        <f t="shared" ref="O13:O18" si="1">E11</f>
        <v>0.25</v>
      </c>
      <c r="P13" s="97" t="str">
        <f>IF(Q5=B17,"-",IF(AND($G$8&lt;&gt;0,$G$11&lt;&gt;""),$Q$5*O13,"-"))</f>
        <v>-</v>
      </c>
      <c r="Q13" s="98" t="str">
        <f>IF(Q5=B17,"-",IF(G11="","-",G11))</f>
        <v>-</v>
      </c>
      <c r="R13" s="99" t="str">
        <f>IF(Q13&lt;&gt;"-",(IF(P13&gt;1,((Q13+P13)-1),(Q13+P13))),"-")</f>
        <v>-</v>
      </c>
    </row>
    <row r="14" spans="2:18" ht="15" customHeight="1">
      <c r="B14" s="366" t="s">
        <v>166</v>
      </c>
      <c r="C14" s="296"/>
      <c r="D14" s="72">
        <f>IF(G4="SISP v1.0",10%,15%)</f>
        <v>0.15</v>
      </c>
      <c r="E14" s="191">
        <v>0.15</v>
      </c>
      <c r="F14" s="93">
        <f t="shared" si="0"/>
        <v>30.299999999999997</v>
      </c>
      <c r="G14" s="94">
        <f>IF(AND((H13&gt;=0),(H13&lt;=2958465)),H13,"-")</f>
        <v>42519.5</v>
      </c>
      <c r="H14" s="95">
        <f>IF(G14="", "-",(IF(AND((G14&gt;=0),(G14&lt;=2958465)),G14+(F14),"-")))</f>
        <v>42549.8</v>
      </c>
      <c r="I14" s="73"/>
      <c r="J14" s="112" t="s">
        <v>167</v>
      </c>
      <c r="K14" s="96">
        <v>59</v>
      </c>
      <c r="L14" s="96">
        <v>59</v>
      </c>
      <c r="M14" s="73"/>
      <c r="N14" s="119" t="s">
        <v>161</v>
      </c>
      <c r="O14" s="120">
        <f t="shared" si="1"/>
        <v>0.1</v>
      </c>
      <c r="P14" s="100" t="str">
        <f>IF(Q5=B17,"-",IF(AND($G$8&lt;&gt;0,$G$11&lt;&gt;""),$Q$5*O14,"-"))</f>
        <v>-</v>
      </c>
      <c r="Q14" s="101" t="str">
        <f>R13</f>
        <v>-</v>
      </c>
      <c r="R14" s="102" t="str">
        <f>IF(Q14&lt;&gt;"-",Q14+P14,"-")</f>
        <v>-</v>
      </c>
    </row>
    <row r="15" spans="2:18" ht="16.5" customHeight="1">
      <c r="B15" s="366" t="s">
        <v>168</v>
      </c>
      <c r="C15" s="296"/>
      <c r="D15" s="91">
        <v>0.05</v>
      </c>
      <c r="E15" s="191">
        <v>0.05</v>
      </c>
      <c r="F15" s="93">
        <f t="shared" si="0"/>
        <v>10.100000000000001</v>
      </c>
      <c r="G15" s="94">
        <f>IF(AND((H14&gt;=0),(H14&lt;=2958465)),H14,"-")</f>
        <v>42549.8</v>
      </c>
      <c r="H15" s="95">
        <f>IF(G15="", "-",(IF(AND((G15&gt;=0),(G15&lt;=2958465)),G15+(F15),"-")))</f>
        <v>42559.9</v>
      </c>
      <c r="I15" s="73"/>
      <c r="J15" s="112" t="s">
        <v>169</v>
      </c>
      <c r="K15" s="96">
        <v>65</v>
      </c>
      <c r="L15" s="96">
        <v>65</v>
      </c>
      <c r="M15" s="73"/>
      <c r="N15" s="119" t="s">
        <v>27</v>
      </c>
      <c r="O15" s="120">
        <f t="shared" si="1"/>
        <v>0.4</v>
      </c>
      <c r="P15" s="100" t="str">
        <f>IF(Q5=B17,"-",IF(AND($G$8&lt;&gt;0,$G$11&lt;&gt;""),$Q$5*O15,"-"))</f>
        <v>-</v>
      </c>
      <c r="Q15" s="101" t="str">
        <f>R14</f>
        <v>-</v>
      </c>
      <c r="R15" s="102" t="str">
        <f>IF(Q15&lt;&gt;"-",Q15+P15,"-")</f>
        <v>-</v>
      </c>
    </row>
    <row r="16" spans="2:18" ht="15" customHeight="1">
      <c r="B16" s="366" t="s">
        <v>170</v>
      </c>
      <c r="C16" s="296"/>
      <c r="D16" s="91">
        <v>0.05</v>
      </c>
      <c r="E16" s="191">
        <v>0.05</v>
      </c>
      <c r="F16" s="93">
        <f t="shared" si="0"/>
        <v>10.100000000000001</v>
      </c>
      <c r="G16" s="94">
        <f>IF(AND((H15&gt;=0),(H15&lt;=2958465)),H15,"-")</f>
        <v>42559.9</v>
      </c>
      <c r="H16" s="95">
        <f>IF(G16="", "-",(IF(AND((G16&gt;=0),(G16&lt;=2958465)),G16+(F16),"-")))</f>
        <v>42570</v>
      </c>
      <c r="I16" s="73"/>
      <c r="J16" s="370" t="s">
        <v>171</v>
      </c>
      <c r="K16" s="372" t="s">
        <v>172</v>
      </c>
      <c r="L16" s="373"/>
      <c r="M16" s="73"/>
      <c r="N16" s="119" t="s">
        <v>166</v>
      </c>
      <c r="O16" s="120">
        <f t="shared" si="1"/>
        <v>0.15</v>
      </c>
      <c r="P16" s="100" t="str">
        <f>IF(Q5=B17,"-",IF(AND($G$8&lt;&gt;0,$G$11&lt;&gt;""),$Q$5*O16,"-"))</f>
        <v>-</v>
      </c>
      <c r="Q16" s="101" t="str">
        <f>R15</f>
        <v>-</v>
      </c>
      <c r="R16" s="102" t="str">
        <f>IF(Q16&lt;&gt;"-",Q16+P16,"-")</f>
        <v>-</v>
      </c>
    </row>
    <row r="17" spans="2:19" ht="15.75" customHeight="1" thickBot="1">
      <c r="B17" s="125">
        <f>IF(G8="","Informe PF",IF(G7="Projetos com até 99 PF - Complexidade Baixa",(IF(G8&lt;=10,K6,IF(G8&lt;=20,K7,IF(G8&lt;=30,K8,IF(G8&lt;=40,K9,IF(G8&lt;=50,K10,IF(G8&lt;=60,K11,IF(G8&lt;=70,K12,IF(G8&lt;=85,K13,IF(G8&lt;=99,K14,"ERRO - Insira novamente o tamanho em PF do projeto")))))))))),(IF(G7="Projetos com até 99 PF - Complexidade Média ou Alta",(IF(G8&lt;=10,L6,IF(G8&lt;=20,L7,IF(G8&lt;=30,L8,IF(G8&lt;=40,L9,IF(G8&lt;=50,L10,IF(G8&lt;=60,L11,IF(G8&lt;=70,L12,IF(G8&lt;=99,L13,"ERRO - Insira novamente o tamanho em PF do projeto"))))))))),(IF(G8&lt;=99,"ERRO - Insira novamente o tamanho em PF do projeto",ROUND(POWER(G8, IF(H6&lt;&gt;0,H6,0.35))*30, 0)))))))</f>
        <v>202</v>
      </c>
      <c r="C17" s="107" t="s">
        <v>173</v>
      </c>
      <c r="D17" s="92">
        <v>1</v>
      </c>
      <c r="E17" s="92">
        <f>SUM(E11:E16)</f>
        <v>1</v>
      </c>
      <c r="F17" s="354" t="str">
        <f>IF(B17&lt;&gt;"ERRO - Insira novamente o tamanho em PF do projeto",SUM(F11:F16)&amp;" dias","ERRO - Insira novamente PF")</f>
        <v>202 dias</v>
      </c>
      <c r="G17" s="355"/>
      <c r="H17" s="338"/>
      <c r="I17" s="73"/>
      <c r="J17" s="371"/>
      <c r="K17" s="342"/>
      <c r="L17" s="343"/>
      <c r="M17" s="73"/>
      <c r="N17" s="119" t="s">
        <v>168</v>
      </c>
      <c r="O17" s="120">
        <f t="shared" si="1"/>
        <v>0.05</v>
      </c>
      <c r="P17" s="100" t="str">
        <f>IF(Q5=B17,"-",IF(AND($G$8&lt;&gt;0,$G$11&lt;&gt;""),$Q$5*O17,"-"))</f>
        <v>-</v>
      </c>
      <c r="Q17" s="101" t="str">
        <f>R16</f>
        <v>-</v>
      </c>
      <c r="R17" s="102" t="str">
        <f>IF(Q17&lt;&gt;"-",Q17+P17,"-")</f>
        <v>-</v>
      </c>
    </row>
    <row r="18" spans="2:19" ht="14.25" customHeight="1" thickBot="1">
      <c r="B18" s="73"/>
      <c r="C18" s="73"/>
      <c r="D18" s="73"/>
      <c r="E18" s="73"/>
      <c r="F18" s="77"/>
      <c r="G18" s="73"/>
      <c r="H18" s="73"/>
      <c r="I18" s="73"/>
      <c r="J18" s="74"/>
      <c r="K18" s="74"/>
      <c r="L18" s="74"/>
      <c r="M18" s="74"/>
      <c r="N18" s="121" t="s">
        <v>170</v>
      </c>
      <c r="O18" s="122">
        <f t="shared" si="1"/>
        <v>0.05</v>
      </c>
      <c r="P18" s="103" t="str">
        <f>IF(Q5=B17,"-",IF(AND($G$8&lt;&gt;0,$G$11&lt;&gt;""),$Q$5*O18,"-"))</f>
        <v>-</v>
      </c>
      <c r="Q18" s="104" t="str">
        <f>R17</f>
        <v>-</v>
      </c>
      <c r="R18" s="105" t="str">
        <f>IF(Q18&lt;&gt;"-",Q18+P18,"-")</f>
        <v>-</v>
      </c>
    </row>
    <row r="19" spans="2:19" ht="15" customHeight="1">
      <c r="B19" s="74"/>
      <c r="C19" s="78"/>
      <c r="D19" s="74"/>
      <c r="E19" s="74"/>
      <c r="F19" s="74"/>
      <c r="G19" s="74"/>
      <c r="H19" s="74"/>
      <c r="I19" s="74"/>
      <c r="J19" s="74"/>
      <c r="K19" s="74"/>
      <c r="L19" s="74"/>
      <c r="M19" s="74"/>
      <c r="N19" s="74"/>
      <c r="O19" s="74"/>
      <c r="P19" s="74"/>
    </row>
    <row r="20" spans="2:19" ht="15.75" customHeight="1" thickBot="1">
      <c r="B20" s="74"/>
      <c r="C20" s="78"/>
      <c r="D20" s="74"/>
      <c r="E20" s="74"/>
      <c r="F20" s="74"/>
      <c r="G20" s="74"/>
      <c r="H20" s="74"/>
      <c r="I20" s="74"/>
      <c r="J20" s="74"/>
      <c r="K20" s="74"/>
      <c r="L20" s="74"/>
      <c r="M20" s="74"/>
      <c r="N20" s="74"/>
      <c r="O20" s="74"/>
      <c r="P20" s="74"/>
    </row>
    <row r="21" spans="2:19" ht="30" customHeight="1">
      <c r="B21" s="74"/>
      <c r="C21" s="78"/>
      <c r="D21" s="74"/>
      <c r="E21" s="74"/>
      <c r="F21" s="74"/>
      <c r="G21" s="74"/>
      <c r="H21" s="74"/>
      <c r="I21" s="74"/>
      <c r="J21" s="74"/>
      <c r="K21" s="74"/>
      <c r="L21" s="74"/>
      <c r="M21" s="74"/>
      <c r="N21" s="74"/>
      <c r="O21" s="74"/>
      <c r="P21" s="74"/>
      <c r="Q21" s="123" t="s">
        <v>174</v>
      </c>
      <c r="R21" s="124" t="s">
        <v>175</v>
      </c>
    </row>
    <row r="22" spans="2:19" ht="15" customHeight="1">
      <c r="B22" s="74"/>
      <c r="C22" s="78"/>
      <c r="D22" s="74"/>
      <c r="E22" s="74"/>
      <c r="F22" s="74"/>
      <c r="G22" s="74"/>
      <c r="H22" s="74"/>
      <c r="I22" s="74"/>
      <c r="J22" s="74"/>
      <c r="K22" s="74"/>
      <c r="L22" s="74"/>
      <c r="M22" s="74"/>
      <c r="N22" s="74"/>
      <c r="O22" s="74"/>
      <c r="P22" s="74"/>
      <c r="Q22" s="79">
        <v>-0.1</v>
      </c>
      <c r="R22" s="80">
        <v>20</v>
      </c>
    </row>
    <row r="23" spans="2:19" ht="15" customHeight="1">
      <c r="Q23" s="79">
        <v>-0.2</v>
      </c>
      <c r="R23" s="80">
        <v>50</v>
      </c>
    </row>
    <row r="24" spans="2:19" ht="15.75" customHeight="1" thickBot="1">
      <c r="Q24" s="81">
        <v>-0.25</v>
      </c>
      <c r="R24" s="82">
        <v>70</v>
      </c>
    </row>
    <row r="25" spans="2:19" ht="13.5" customHeight="1" thickBot="1"/>
    <row r="26" spans="2:19" ht="25.5" customHeight="1">
      <c r="Q26" s="128" t="s">
        <v>176</v>
      </c>
      <c r="R26" s="129" t="s">
        <v>142</v>
      </c>
      <c r="S26" s="130" t="s">
        <v>177</v>
      </c>
    </row>
    <row r="27" spans="2:19">
      <c r="Q27" s="131">
        <v>-0.01</v>
      </c>
      <c r="R27" s="85">
        <f t="shared" ref="R27:R45" si="2">GROWTH($R$22:$R$24,$Q$22:$Q$24,Q27,1)</f>
        <v>9.4974870513428584</v>
      </c>
      <c r="S27" s="86">
        <f t="shared" ref="S27:S58" si="3">TREND($R$22:$R$24,$Q$22:$Q$24,Q27,0)</f>
        <v>2.6222222222222218</v>
      </c>
    </row>
    <row r="28" spans="2:19">
      <c r="Q28" s="131">
        <v>-0.02</v>
      </c>
      <c r="R28" s="85">
        <f t="shared" si="2"/>
        <v>10.336729939663668</v>
      </c>
      <c r="S28" s="86">
        <f t="shared" si="3"/>
        <v>5.2444444444444436</v>
      </c>
    </row>
    <row r="29" spans="2:19">
      <c r="Q29" s="131">
        <v>-0.03</v>
      </c>
      <c r="R29" s="85">
        <f t="shared" si="2"/>
        <v>11.25013230004161</v>
      </c>
      <c r="S29" s="86">
        <f t="shared" si="3"/>
        <v>7.8666666666666645</v>
      </c>
    </row>
    <row r="30" spans="2:19">
      <c r="Q30" s="131">
        <v>-0.04</v>
      </c>
      <c r="R30" s="85">
        <f t="shared" si="2"/>
        <v>12.244247214274969</v>
      </c>
      <c r="S30" s="86">
        <f t="shared" si="3"/>
        <v>10.488888888888887</v>
      </c>
    </row>
    <row r="31" spans="2:19">
      <c r="Q31" s="131">
        <v>-0.05</v>
      </c>
      <c r="R31" s="85">
        <f t="shared" si="2"/>
        <v>13.32620682547225</v>
      </c>
      <c r="S31" s="86">
        <f t="shared" si="3"/>
        <v>13.111111111111109</v>
      </c>
    </row>
    <row r="32" spans="2:19">
      <c r="Q32" s="131">
        <v>-0.06</v>
      </c>
      <c r="R32" s="85">
        <f t="shared" si="2"/>
        <v>14.503773506649086</v>
      </c>
      <c r="S32" s="86">
        <f t="shared" si="3"/>
        <v>15.733333333333329</v>
      </c>
    </row>
    <row r="33" spans="17:19">
      <c r="Q33" s="131">
        <v>-7.0000000000000007E-2</v>
      </c>
      <c r="R33" s="85">
        <f t="shared" si="2"/>
        <v>15.785395550824445</v>
      </c>
      <c r="S33" s="86">
        <f t="shared" si="3"/>
        <v>18.355555555555554</v>
      </c>
    </row>
    <row r="34" spans="17:19">
      <c r="Q34" s="131">
        <v>-0.08</v>
      </c>
      <c r="R34" s="85">
        <f t="shared" si="2"/>
        <v>17.180267782157173</v>
      </c>
      <c r="S34" s="86">
        <f t="shared" si="3"/>
        <v>20.977777777777774</v>
      </c>
    </row>
    <row r="35" spans="17:19">
      <c r="Q35" s="131">
        <v>-0.09</v>
      </c>
      <c r="R35" s="85">
        <f t="shared" si="2"/>
        <v>18.69839752296939</v>
      </c>
      <c r="S35" s="86">
        <f t="shared" si="3"/>
        <v>23.599999999999994</v>
      </c>
    </row>
    <row r="36" spans="17:19">
      <c r="Q36" s="131">
        <v>-0.1</v>
      </c>
      <c r="R36" s="89">
        <f t="shared" si="2"/>
        <v>20.350676389928065</v>
      </c>
      <c r="S36" s="90">
        <f t="shared" si="3"/>
        <v>26.222222222222218</v>
      </c>
    </row>
    <row r="37" spans="17:19">
      <c r="Q37" s="131">
        <v>-0.11</v>
      </c>
      <c r="R37" s="85">
        <f t="shared" si="2"/>
        <v>22.148958434476945</v>
      </c>
      <c r="S37" s="86">
        <f t="shared" si="3"/>
        <v>28.844444444444438</v>
      </c>
    </row>
    <row r="38" spans="17:19">
      <c r="Q38" s="131">
        <v>-0.12</v>
      </c>
      <c r="R38" s="85">
        <f t="shared" si="2"/>
        <v>24.106145188126657</v>
      </c>
      <c r="S38" s="86">
        <f t="shared" si="3"/>
        <v>31.466666666666658</v>
      </c>
    </row>
    <row r="39" spans="17:19">
      <c r="Q39" s="131">
        <v>-0.13</v>
      </c>
      <c r="R39" s="85">
        <f t="shared" si="2"/>
        <v>26.236278222749089</v>
      </c>
      <c r="S39" s="86">
        <f t="shared" si="3"/>
        <v>34.088888888888881</v>
      </c>
    </row>
    <row r="40" spans="17:19">
      <c r="Q40" s="131">
        <v>-0.14000000000000001</v>
      </c>
      <c r="R40" s="85">
        <f t="shared" si="2"/>
        <v>28.554639889937153</v>
      </c>
      <c r="S40" s="86">
        <f t="shared" si="3"/>
        <v>36.711111111111109</v>
      </c>
    </row>
    <row r="41" spans="17:19">
      <c r="Q41" s="131">
        <v>-0.15</v>
      </c>
      <c r="R41" s="85">
        <f t="shared" si="2"/>
        <v>31.077862962171093</v>
      </c>
      <c r="S41" s="86">
        <f t="shared" si="3"/>
        <v>39.333333333333321</v>
      </c>
    </row>
    <row r="42" spans="17:19">
      <c r="Q42" s="131">
        <v>-0.16</v>
      </c>
      <c r="R42" s="85">
        <f t="shared" si="2"/>
        <v>33.824049962396906</v>
      </c>
      <c r="S42" s="86">
        <f t="shared" si="3"/>
        <v>41.955555555555549</v>
      </c>
    </row>
    <row r="43" spans="17:19">
      <c r="Q43" s="131">
        <v>-0.17</v>
      </c>
      <c r="R43" s="85">
        <f t="shared" si="2"/>
        <v>36.812903038130841</v>
      </c>
      <c r="S43" s="86">
        <f t="shared" si="3"/>
        <v>44.577777777777776</v>
      </c>
    </row>
    <row r="44" spans="17:19">
      <c r="Q44" s="131">
        <v>-0.18</v>
      </c>
      <c r="R44" s="85">
        <f t="shared" si="2"/>
        <v>40.065865311854225</v>
      </c>
      <c r="S44" s="86">
        <f t="shared" si="3"/>
        <v>47.199999999999989</v>
      </c>
    </row>
    <row r="45" spans="17:19">
      <c r="Q45" s="131">
        <v>-0.19</v>
      </c>
      <c r="R45" s="85">
        <f t="shared" si="2"/>
        <v>43.606274721797959</v>
      </c>
      <c r="S45" s="86">
        <f t="shared" si="3"/>
        <v>49.822222222222216</v>
      </c>
    </row>
    <row r="46" spans="17:19">
      <c r="Q46" s="131">
        <v>-0.2</v>
      </c>
      <c r="R46" s="89">
        <v>50</v>
      </c>
      <c r="S46" s="90">
        <f t="shared" si="3"/>
        <v>52.444444444444436</v>
      </c>
    </row>
    <row r="47" spans="17:19">
      <c r="Q47" s="131">
        <v>-0.21</v>
      </c>
      <c r="R47" s="85">
        <f>GROWTH($R$22:$R$24,$Q$22:$Q$24,Q47,1)</f>
        <v>51.653280186659927</v>
      </c>
      <c r="S47" s="86">
        <f t="shared" si="3"/>
        <v>55.066666666666656</v>
      </c>
    </row>
    <row r="48" spans="17:19">
      <c r="Q48" s="131">
        <v>-0.22</v>
      </c>
      <c r="R48" s="85">
        <f>GROWTH($R$22:$R$24,$Q$22:$Q$24,Q48,1)</f>
        <v>56.217608394821809</v>
      </c>
      <c r="S48" s="86">
        <f t="shared" si="3"/>
        <v>57.688888888888876</v>
      </c>
    </row>
    <row r="49" spans="17:19">
      <c r="Q49" s="131">
        <v>-0.23</v>
      </c>
      <c r="R49" s="85">
        <f>GROWTH($R$22:$R$24,$Q$22:$Q$24,Q49,1)</f>
        <v>61.18526223722295</v>
      </c>
      <c r="S49" s="86">
        <f t="shared" si="3"/>
        <v>60.311111111111103</v>
      </c>
    </row>
    <row r="50" spans="17:19">
      <c r="Q50" s="131">
        <v>-0.24</v>
      </c>
      <c r="R50" s="85">
        <f>GROWTH($R$22:$R$24,$Q$22:$Q$24,Q50,1)</f>
        <v>66.591881475032011</v>
      </c>
      <c r="S50" s="86">
        <f t="shared" si="3"/>
        <v>62.933333333333316</v>
      </c>
    </row>
    <row r="51" spans="17:19">
      <c r="Q51" s="131">
        <v>-0.25</v>
      </c>
      <c r="R51" s="89">
        <v>70</v>
      </c>
      <c r="S51" s="90">
        <f t="shared" si="3"/>
        <v>65.555555555555543</v>
      </c>
    </row>
    <row r="52" spans="17:19">
      <c r="Q52" s="131">
        <v>-0.26</v>
      </c>
      <c r="R52" s="85">
        <f t="shared" ref="R52:R83" si="4">GROWTH($R$22:$R$24,$Q$22:$Q$24,Q52,1)</f>
        <v>78.880599957951503</v>
      </c>
      <c r="S52" s="86">
        <f t="shared" si="3"/>
        <v>68.177777777777763</v>
      </c>
    </row>
    <row r="53" spans="17:19">
      <c r="Q53" s="131">
        <v>-0.27</v>
      </c>
      <c r="R53" s="85">
        <f t="shared" si="4"/>
        <v>85.850862953132875</v>
      </c>
      <c r="S53" s="86">
        <f t="shared" si="3"/>
        <v>70.8</v>
      </c>
    </row>
    <row r="54" spans="17:19">
      <c r="Q54" s="131">
        <v>-0.28000000000000003</v>
      </c>
      <c r="R54" s="85">
        <f t="shared" si="4"/>
        <v>93.437051362774795</v>
      </c>
      <c r="S54" s="86">
        <f t="shared" si="3"/>
        <v>73.422222222222217</v>
      </c>
    </row>
    <row r="55" spans="17:19">
      <c r="Q55" s="131">
        <v>-0.28999999999999998</v>
      </c>
      <c r="R55" s="85">
        <f t="shared" si="4"/>
        <v>101.69359127043245</v>
      </c>
      <c r="S55" s="86">
        <f t="shared" si="3"/>
        <v>76.044444444444423</v>
      </c>
    </row>
    <row r="56" spans="17:19">
      <c r="Q56" s="131">
        <v>-0.3</v>
      </c>
      <c r="R56" s="85">
        <f t="shared" si="4"/>
        <v>110.67971810589327</v>
      </c>
      <c r="S56" s="86">
        <f t="shared" si="3"/>
        <v>78.666666666666643</v>
      </c>
    </row>
    <row r="57" spans="17:19">
      <c r="Q57" s="131">
        <v>-0.31</v>
      </c>
      <c r="R57" s="85">
        <f t="shared" si="4"/>
        <v>120.45990162176226</v>
      </c>
      <c r="S57" s="86">
        <f t="shared" si="3"/>
        <v>81.288888888888877</v>
      </c>
    </row>
    <row r="58" spans="17:19">
      <c r="Q58" s="131">
        <v>-0.32</v>
      </c>
      <c r="R58" s="85">
        <f t="shared" si="4"/>
        <v>131.10430842299021</v>
      </c>
      <c r="S58" s="86">
        <f t="shared" si="3"/>
        <v>83.911111111111097</v>
      </c>
    </row>
    <row r="59" spans="17:19">
      <c r="Q59" s="131">
        <v>-0.33</v>
      </c>
      <c r="R59" s="85">
        <f t="shared" si="4"/>
        <v>142.68930536769835</v>
      </c>
      <c r="S59" s="86">
        <f t="shared" ref="S59:S90" si="5">TREND($R$22:$R$24,$Q$22:$Q$24,Q59,0)</f>
        <v>86.533333333333317</v>
      </c>
    </row>
    <row r="60" spans="17:19">
      <c r="Q60" s="131">
        <v>-0.34</v>
      </c>
      <c r="R60" s="85">
        <f t="shared" si="4"/>
        <v>155.29800745088212</v>
      </c>
      <c r="S60" s="86">
        <f t="shared" si="5"/>
        <v>89.155555555555551</v>
      </c>
    </row>
    <row r="61" spans="17:19">
      <c r="Q61" s="131">
        <v>-0.35</v>
      </c>
      <c r="R61" s="85">
        <f t="shared" si="4"/>
        <v>169.02087410171018</v>
      </c>
      <c r="S61" s="86">
        <f t="shared" si="5"/>
        <v>91.777777777777757</v>
      </c>
    </row>
    <row r="62" spans="17:19">
      <c r="Q62" s="131">
        <v>-0.36</v>
      </c>
      <c r="R62" s="85">
        <f t="shared" si="4"/>
        <v>183.95635817247503</v>
      </c>
      <c r="S62" s="86">
        <f t="shared" si="5"/>
        <v>94.399999999999977</v>
      </c>
    </row>
    <row r="63" spans="17:19">
      <c r="Q63" s="131">
        <v>-0.37</v>
      </c>
      <c r="R63" s="85">
        <f t="shared" si="4"/>
        <v>200.21161227527659</v>
      </c>
      <c r="S63" s="86">
        <f t="shared" si="5"/>
        <v>97.022222222222197</v>
      </c>
    </row>
    <row r="64" spans="17:19">
      <c r="Q64" s="131">
        <v>-0.38</v>
      </c>
      <c r="R64" s="85">
        <f t="shared" si="4"/>
        <v>217.903257533957</v>
      </c>
      <c r="S64" s="86">
        <f t="shared" si="5"/>
        <v>99.644444444444431</v>
      </c>
    </row>
    <row r="65" spans="17:19">
      <c r="Q65" s="131">
        <v>-0.39</v>
      </c>
      <c r="R65" s="85">
        <f t="shared" si="4"/>
        <v>237.15822026659424</v>
      </c>
      <c r="S65" s="86">
        <f t="shared" si="5"/>
        <v>102.26666666666665</v>
      </c>
    </row>
    <row r="66" spans="17:19">
      <c r="Q66" s="131">
        <v>-0.4</v>
      </c>
      <c r="R66" s="85">
        <f t="shared" si="4"/>
        <v>258.11464260121767</v>
      </c>
      <c r="S66" s="86">
        <f t="shared" si="5"/>
        <v>104.88888888888887</v>
      </c>
    </row>
    <row r="67" spans="17:19">
      <c r="Q67" s="131">
        <v>-0.41</v>
      </c>
      <c r="R67" s="85">
        <f t="shared" si="4"/>
        <v>280.92287355783799</v>
      </c>
      <c r="S67" s="86">
        <f t="shared" si="5"/>
        <v>107.51111111111108</v>
      </c>
    </row>
    <row r="68" spans="17:19">
      <c r="Q68" s="131">
        <v>-0.42</v>
      </c>
      <c r="R68" s="85">
        <f t="shared" si="4"/>
        <v>305.74654770717279</v>
      </c>
      <c r="S68" s="86">
        <f t="shared" si="5"/>
        <v>110.13333333333331</v>
      </c>
    </row>
    <row r="69" spans="17:19">
      <c r="Q69" s="131">
        <v>-0.43</v>
      </c>
      <c r="R69" s="85">
        <f t="shared" si="4"/>
        <v>332.76375914476068</v>
      </c>
      <c r="S69" s="86">
        <f t="shared" si="5"/>
        <v>112.75555555555553</v>
      </c>
    </row>
    <row r="70" spans="17:19">
      <c r="Q70" s="131">
        <v>-0.44</v>
      </c>
      <c r="R70" s="85">
        <f t="shared" si="4"/>
        <v>362.16833920298285</v>
      </c>
      <c r="S70" s="86">
        <f t="shared" si="5"/>
        <v>115.37777777777775</v>
      </c>
    </row>
    <row r="71" spans="17:19">
      <c r="Q71" s="131">
        <v>-0.45</v>
      </c>
      <c r="R71" s="85">
        <f t="shared" si="4"/>
        <v>394.17124706776224</v>
      </c>
      <c r="S71" s="86">
        <f t="shared" si="5"/>
        <v>117.99999999999999</v>
      </c>
    </row>
    <row r="72" spans="17:19">
      <c r="Q72" s="131">
        <v>-0.46</v>
      </c>
      <c r="R72" s="85">
        <f t="shared" si="4"/>
        <v>429.00208327673522</v>
      </c>
      <c r="S72" s="86">
        <f t="shared" si="5"/>
        <v>120.62222222222221</v>
      </c>
    </row>
    <row r="73" spans="17:19">
      <c r="Q73" s="131">
        <v>-0.47</v>
      </c>
      <c r="R73" s="85">
        <f t="shared" si="4"/>
        <v>466.91073695727931</v>
      </c>
      <c r="S73" s="86">
        <f t="shared" si="5"/>
        <v>123.24444444444441</v>
      </c>
    </row>
    <row r="74" spans="17:19">
      <c r="Q74" s="131">
        <v>-0.48</v>
      </c>
      <c r="R74" s="85">
        <f t="shared" si="4"/>
        <v>508.16917862228996</v>
      </c>
      <c r="S74" s="86">
        <f t="shared" si="5"/>
        <v>125.86666666666663</v>
      </c>
    </row>
    <row r="75" spans="17:19">
      <c r="Q75" s="131">
        <v>-0.49</v>
      </c>
      <c r="R75" s="85">
        <f t="shared" si="4"/>
        <v>553.0734113858698</v>
      </c>
      <c r="S75" s="86">
        <f t="shared" si="5"/>
        <v>128.48888888888885</v>
      </c>
    </row>
    <row r="76" spans="17:19">
      <c r="Q76" s="131">
        <v>-0.5</v>
      </c>
      <c r="R76" s="85">
        <f t="shared" si="4"/>
        <v>601.94559459766924</v>
      </c>
      <c r="S76" s="86">
        <f t="shared" si="5"/>
        <v>131.11111111111109</v>
      </c>
    </row>
    <row r="77" spans="17:19">
      <c r="Q77" s="131">
        <v>-0.51</v>
      </c>
      <c r="R77" s="85">
        <f t="shared" si="4"/>
        <v>655.13635513160523</v>
      </c>
      <c r="S77" s="86">
        <f t="shared" si="5"/>
        <v>133.73333333333332</v>
      </c>
    </row>
    <row r="78" spans="17:19">
      <c r="Q78" s="131">
        <v>-0.52</v>
      </c>
      <c r="R78" s="85">
        <f t="shared" si="4"/>
        <v>713.02730291098419</v>
      </c>
      <c r="S78" s="86">
        <f t="shared" si="5"/>
        <v>136.35555555555553</v>
      </c>
    </row>
    <row r="79" spans="17:19">
      <c r="Q79" s="131">
        <v>-0.53</v>
      </c>
      <c r="R79" s="85">
        <f t="shared" si="4"/>
        <v>776.03376871732564</v>
      </c>
      <c r="S79" s="86">
        <f t="shared" si="5"/>
        <v>138.97777777777776</v>
      </c>
    </row>
    <row r="80" spans="17:19">
      <c r="Q80" s="131">
        <v>-0.54</v>
      </c>
      <c r="R80" s="85">
        <f t="shared" si="4"/>
        <v>844.60778392493023</v>
      </c>
      <c r="S80" s="86">
        <f t="shared" si="5"/>
        <v>141.6</v>
      </c>
    </row>
    <row r="81" spans="17:19">
      <c r="Q81" s="131">
        <v>-0.55000000000000004</v>
      </c>
      <c r="R81" s="85">
        <f t="shared" si="4"/>
        <v>919.24132353888274</v>
      </c>
      <c r="S81" s="86">
        <f t="shared" si="5"/>
        <v>144.2222222222222</v>
      </c>
    </row>
    <row r="82" spans="17:19">
      <c r="Q82" s="131">
        <v>-0.56000000000000005</v>
      </c>
      <c r="R82" s="85">
        <f t="shared" si="4"/>
        <v>1000.4698358032441</v>
      </c>
      <c r="S82" s="86">
        <f t="shared" si="5"/>
        <v>146.84444444444443</v>
      </c>
    </row>
    <row r="83" spans="17:19">
      <c r="Q83" s="131">
        <v>-0.56999999999999995</v>
      </c>
      <c r="R83" s="85">
        <f t="shared" si="4"/>
        <v>1088.8760837021161</v>
      </c>
      <c r="S83" s="86">
        <f t="shared" si="5"/>
        <v>149.46666666666661</v>
      </c>
    </row>
    <row r="84" spans="17:19">
      <c r="Q84" s="131">
        <v>-0.57999999999999996</v>
      </c>
      <c r="R84" s="85">
        <f t="shared" ref="R84:R115" si="6">GROWTH($R$22:$R$24,$Q$22:$Q$24,Q84,1)</f>
        <v>1185.0943259139242</v>
      </c>
      <c r="S84" s="86">
        <f t="shared" si="5"/>
        <v>152.08888888888885</v>
      </c>
    </row>
    <row r="85" spans="17:19">
      <c r="Q85" s="131">
        <v>-0.59</v>
      </c>
      <c r="R85" s="85">
        <f t="shared" si="6"/>
        <v>1289.8148672145812</v>
      </c>
      <c r="S85" s="86">
        <f t="shared" si="5"/>
        <v>154.71111111111108</v>
      </c>
    </row>
    <row r="86" spans="17:19">
      <c r="Q86" s="131">
        <v>-0.6</v>
      </c>
      <c r="R86" s="85">
        <f t="shared" si="6"/>
        <v>1403.7890109758237</v>
      </c>
      <c r="S86" s="86">
        <f t="shared" si="5"/>
        <v>157.33333333333329</v>
      </c>
    </row>
    <row r="87" spans="17:19">
      <c r="Q87" s="131">
        <v>-0.61</v>
      </c>
      <c r="R87" s="85">
        <f t="shared" si="6"/>
        <v>1527.8344492897181</v>
      </c>
      <c r="S87" s="86">
        <f t="shared" si="5"/>
        <v>159.95555555555552</v>
      </c>
    </row>
    <row r="88" spans="17:19">
      <c r="Q88" s="131">
        <v>-0.62</v>
      </c>
      <c r="R88" s="85">
        <f t="shared" si="6"/>
        <v>1662.8411293900749</v>
      </c>
      <c r="S88" s="86">
        <f t="shared" si="5"/>
        <v>162.57777777777775</v>
      </c>
    </row>
    <row r="89" spans="17:19">
      <c r="Q89" s="131">
        <v>-0.63</v>
      </c>
      <c r="R89" s="85">
        <f t="shared" si="6"/>
        <v>1809.7776384586134</v>
      </c>
      <c r="S89" s="86">
        <f t="shared" si="5"/>
        <v>165.19999999999996</v>
      </c>
    </row>
    <row r="90" spans="17:19">
      <c r="Q90" s="131">
        <v>-0.64</v>
      </c>
      <c r="R90" s="85">
        <f t="shared" si="6"/>
        <v>1969.6981526227967</v>
      </c>
      <c r="S90" s="86">
        <f t="shared" si="5"/>
        <v>167.82222222222219</v>
      </c>
    </row>
    <row r="91" spans="17:19">
      <c r="Q91" s="131">
        <v>-0.65</v>
      </c>
      <c r="R91" s="85">
        <f t="shared" si="6"/>
        <v>2143.7500000000032</v>
      </c>
      <c r="S91" s="86">
        <f t="shared" ref="S91:S115" si="7">TREND($R$22:$R$24,$Q$22:$Q$24,Q91,0)</f>
        <v>170.44444444444443</v>
      </c>
    </row>
    <row r="92" spans="17:19">
      <c r="Q92" s="131">
        <v>-0.66</v>
      </c>
      <c r="R92" s="85">
        <f t="shared" si="6"/>
        <v>2333.1818920480518</v>
      </c>
      <c r="S92" s="86">
        <f t="shared" si="7"/>
        <v>173.06666666666663</v>
      </c>
    </row>
    <row r="93" spans="17:19">
      <c r="Q93" s="131">
        <v>-0.67</v>
      </c>
      <c r="R93" s="85">
        <f t="shared" si="6"/>
        <v>2539.3528822768158</v>
      </c>
      <c r="S93" s="86">
        <f t="shared" si="7"/>
        <v>175.68888888888887</v>
      </c>
    </row>
    <row r="94" spans="17:19">
      <c r="Q94" s="131">
        <v>-0.68</v>
      </c>
      <c r="R94" s="85">
        <f t="shared" si="6"/>
        <v>2763.7421165939554</v>
      </c>
      <c r="S94" s="86">
        <f t="shared" si="7"/>
        <v>178.3111111111111</v>
      </c>
    </row>
    <row r="95" spans="17:19">
      <c r="Q95" s="131">
        <v>-0.69</v>
      </c>
      <c r="R95" s="85">
        <f t="shared" si="6"/>
        <v>3007.9594452373472</v>
      </c>
      <c r="S95" s="86">
        <f t="shared" si="7"/>
        <v>180.93333333333328</v>
      </c>
    </row>
    <row r="96" spans="17:19">
      <c r="Q96" s="131">
        <v>-0.7</v>
      </c>
      <c r="R96" s="85">
        <f t="shared" si="6"/>
        <v>3273.7569724280715</v>
      </c>
      <c r="S96" s="86">
        <f t="shared" si="7"/>
        <v>183.55555555555551</v>
      </c>
    </row>
    <row r="97" spans="17:19">
      <c r="Q97" s="131">
        <v>-0.71</v>
      </c>
      <c r="R97" s="85">
        <f t="shared" si="6"/>
        <v>3563.0416266053498</v>
      </c>
      <c r="S97" s="86">
        <f t="shared" si="7"/>
        <v>186.17777777777772</v>
      </c>
    </row>
    <row r="98" spans="17:19">
      <c r="Q98" s="131">
        <v>-0.72</v>
      </c>
      <c r="R98" s="85">
        <f t="shared" si="6"/>
        <v>3877.8888414269545</v>
      </c>
      <c r="S98" s="86">
        <f t="shared" si="7"/>
        <v>188.79999999999995</v>
      </c>
    </row>
    <row r="99" spans="17:19">
      <c r="Q99" s="131">
        <v>-0.73</v>
      </c>
      <c r="R99" s="85">
        <f t="shared" si="6"/>
        <v>4220.5574456874938</v>
      </c>
      <c r="S99" s="86">
        <f t="shared" si="7"/>
        <v>191.42222222222219</v>
      </c>
    </row>
    <row r="100" spans="17:19">
      <c r="Q100" s="131">
        <v>-0.74</v>
      </c>
      <c r="R100" s="85">
        <f t="shared" si="6"/>
        <v>4593.5058689803536</v>
      </c>
      <c r="S100" s="86">
        <f t="shared" si="7"/>
        <v>194.04444444444439</v>
      </c>
    </row>
    <row r="101" spans="17:19">
      <c r="Q101" s="131">
        <v>-0.75</v>
      </c>
      <c r="R101" s="85">
        <f t="shared" si="6"/>
        <v>4999.4097793685823</v>
      </c>
      <c r="S101" s="86">
        <f t="shared" si="7"/>
        <v>196.66666666666663</v>
      </c>
    </row>
    <row r="102" spans="17:19">
      <c r="Q102" s="131">
        <v>-0.76</v>
      </c>
      <c r="R102" s="85">
        <f t="shared" si="6"/>
        <v>5441.1812796038321</v>
      </c>
      <c r="S102" s="86">
        <f t="shared" si="7"/>
        <v>199.28888888888886</v>
      </c>
    </row>
    <row r="103" spans="17:19">
      <c r="Q103" s="131">
        <v>-0.77</v>
      </c>
      <c r="R103" s="85">
        <f t="shared" si="6"/>
        <v>5921.9897996139953</v>
      </c>
      <c r="S103" s="86">
        <f t="shared" si="7"/>
        <v>201.91111111111107</v>
      </c>
    </row>
    <row r="104" spans="17:19">
      <c r="Q104" s="131">
        <v>-0.78</v>
      </c>
      <c r="R104" s="85">
        <f t="shared" si="6"/>
        <v>6445.2848351499179</v>
      </c>
      <c r="S104" s="86">
        <f t="shared" si="7"/>
        <v>204.5333333333333</v>
      </c>
    </row>
    <row r="105" spans="17:19">
      <c r="Q105" s="131">
        <v>-0.79</v>
      </c>
      <c r="R105" s="85">
        <f t="shared" si="6"/>
        <v>7014.8206957265047</v>
      </c>
      <c r="S105" s="86">
        <f t="shared" si="7"/>
        <v>207.15555555555554</v>
      </c>
    </row>
    <row r="106" spans="17:19">
      <c r="Q106" s="131">
        <v>-0.8</v>
      </c>
      <c r="R106" s="85">
        <f t="shared" si="6"/>
        <v>7634.6834394089665</v>
      </c>
      <c r="S106" s="86">
        <f t="shared" si="7"/>
        <v>209.77777777777774</v>
      </c>
    </row>
    <row r="107" spans="17:19">
      <c r="Q107" s="131">
        <v>-0.81</v>
      </c>
      <c r="R107" s="85">
        <f t="shared" si="6"/>
        <v>8309.3201876842595</v>
      </c>
      <c r="S107" s="86">
        <f t="shared" si="7"/>
        <v>212.39999999999998</v>
      </c>
    </row>
    <row r="108" spans="17:19">
      <c r="Q108" s="131">
        <v>-0.82</v>
      </c>
      <c r="R108" s="85">
        <f t="shared" si="6"/>
        <v>9043.5710307331574</v>
      </c>
      <c r="S108" s="86">
        <f t="shared" si="7"/>
        <v>215.02222222222215</v>
      </c>
    </row>
    <row r="109" spans="17:19">
      <c r="Q109" s="131">
        <v>-0.83</v>
      </c>
      <c r="R109" s="85">
        <f t="shared" si="6"/>
        <v>9842.7037520032318</v>
      </c>
      <c r="S109" s="86">
        <f t="shared" si="7"/>
        <v>217.64444444444439</v>
      </c>
    </row>
    <row r="110" spans="17:19">
      <c r="Q110" s="131">
        <v>-0.84</v>
      </c>
      <c r="R110" s="85">
        <f t="shared" si="6"/>
        <v>10712.451621209257</v>
      </c>
      <c r="S110" s="86">
        <f t="shared" si="7"/>
        <v>220.26666666666662</v>
      </c>
    </row>
    <row r="111" spans="17:19">
      <c r="Q111" s="131">
        <v>-0.85</v>
      </c>
      <c r="R111" s="85">
        <f t="shared" si="6"/>
        <v>11659.054526902017</v>
      </c>
      <c r="S111" s="86">
        <f t="shared" si="7"/>
        <v>222.88888888888883</v>
      </c>
    </row>
    <row r="112" spans="17:19">
      <c r="Q112" s="131">
        <v>-0.86</v>
      </c>
      <c r="R112" s="85">
        <f t="shared" si="6"/>
        <v>12689.303743705488</v>
      </c>
      <c r="S112" s="86">
        <f t="shared" si="7"/>
        <v>225.51111111111106</v>
      </c>
    </row>
    <row r="113" spans="1:19">
      <c r="Q113" s="131">
        <v>-0.87</v>
      </c>
      <c r="R113" s="85">
        <f t="shared" si="6"/>
        <v>13810.590655398801</v>
      </c>
      <c r="S113" s="86">
        <f t="shared" si="7"/>
        <v>228.1333333333333</v>
      </c>
    </row>
    <row r="114" spans="1:19">
      <c r="Q114" s="131">
        <v>-0.88</v>
      </c>
      <c r="R114" s="85">
        <f t="shared" si="6"/>
        <v>15030.959783400349</v>
      </c>
      <c r="S114" s="86">
        <f t="shared" si="7"/>
        <v>230.7555555555555</v>
      </c>
    </row>
    <row r="115" spans="1:19" ht="13.5" customHeight="1" thickBot="1">
      <c r="Q115" s="132">
        <v>-0.89</v>
      </c>
      <c r="R115" s="87">
        <f t="shared" si="6"/>
        <v>16359.166501099548</v>
      </c>
      <c r="S115" s="88">
        <f t="shared" si="7"/>
        <v>233.37777777777774</v>
      </c>
    </row>
    <row r="128" spans="1:19" ht="15.75" customHeight="1">
      <c r="A128" s="64"/>
      <c r="E128" s="63"/>
      <c r="H128" s="63"/>
      <c r="I128" s="63"/>
      <c r="J128" s="63"/>
      <c r="K128" s="63"/>
    </row>
    <row r="129" spans="1:11" ht="15.75" customHeight="1">
      <c r="A129" s="64"/>
      <c r="I129" s="63"/>
      <c r="J129" s="63"/>
      <c r="K129" s="63"/>
    </row>
    <row r="130" spans="1:11">
      <c r="A130" s="64"/>
    </row>
    <row r="131" spans="1:11">
      <c r="A131" s="64"/>
    </row>
    <row r="132" spans="1:11">
      <c r="A132" s="64"/>
    </row>
    <row r="133" spans="1:11">
      <c r="A133" s="64"/>
    </row>
    <row r="134" spans="1:11">
      <c r="A134" s="65"/>
    </row>
    <row r="135" spans="1:11" ht="31.5" customHeight="1">
      <c r="A135" s="64"/>
    </row>
    <row r="136" spans="1:11" ht="15.75" customHeight="1">
      <c r="A136" s="64"/>
      <c r="K136" s="63"/>
    </row>
    <row r="137" spans="1:11" ht="15.75" customHeight="1">
      <c r="A137" s="64"/>
      <c r="K137" s="63"/>
    </row>
    <row r="138" spans="1:11">
      <c r="A138" s="64"/>
    </row>
    <row r="139" spans="1:11">
      <c r="A139" s="64"/>
    </row>
    <row r="140" spans="1:11">
      <c r="A140" s="64"/>
    </row>
    <row r="141" spans="1:11">
      <c r="A141" s="64"/>
    </row>
    <row r="142" spans="1:11">
      <c r="A142" s="64"/>
    </row>
    <row r="143" spans="1:11">
      <c r="A143" s="64"/>
    </row>
    <row r="144" spans="1:11" ht="15.75" customHeight="1">
      <c r="A144" s="65"/>
      <c r="B144" s="66"/>
      <c r="C144" s="69"/>
      <c r="D144" s="66"/>
    </row>
    <row r="145" spans="1:4">
      <c r="A145" s="64"/>
      <c r="B145" s="64"/>
      <c r="C145" s="70"/>
      <c r="D145" s="64"/>
    </row>
    <row r="146" spans="1:4">
      <c r="A146" s="64"/>
      <c r="B146" s="64"/>
      <c r="C146" s="70"/>
      <c r="D146" s="64"/>
    </row>
    <row r="147" spans="1:4">
      <c r="A147" s="64"/>
      <c r="B147" s="64"/>
      <c r="C147" s="70"/>
      <c r="D147" s="64"/>
    </row>
    <row r="148" spans="1:4">
      <c r="A148" s="64"/>
      <c r="B148" s="64"/>
      <c r="C148" s="70"/>
      <c r="D148" s="64"/>
    </row>
    <row r="149" spans="1:4">
      <c r="A149" s="65"/>
      <c r="B149" s="64"/>
      <c r="C149" s="70"/>
      <c r="D149" s="64"/>
    </row>
    <row r="150" spans="1:4">
      <c r="A150" s="64"/>
      <c r="B150" s="65"/>
      <c r="C150" s="71"/>
      <c r="D150" s="65"/>
    </row>
    <row r="151" spans="1:4">
      <c r="A151" s="64"/>
      <c r="B151" s="64"/>
      <c r="C151" s="70"/>
      <c r="D151" s="64"/>
    </row>
    <row r="152" spans="1:4">
      <c r="A152" s="64"/>
      <c r="B152" s="64"/>
      <c r="C152" s="70"/>
      <c r="D152" s="64"/>
    </row>
    <row r="153" spans="1:4">
      <c r="A153" s="64"/>
      <c r="B153" s="64"/>
      <c r="C153" s="70"/>
      <c r="D153" s="64"/>
    </row>
    <row r="154" spans="1:4">
      <c r="A154" s="64"/>
      <c r="B154" s="64"/>
      <c r="C154" s="70"/>
      <c r="D154" s="64"/>
    </row>
    <row r="155" spans="1:4">
      <c r="A155" s="64"/>
      <c r="B155" s="64"/>
      <c r="C155" s="70"/>
      <c r="D155" s="64"/>
    </row>
    <row r="156" spans="1:4">
      <c r="A156" s="64"/>
      <c r="B156" s="64"/>
      <c r="C156" s="70"/>
      <c r="D156" s="64"/>
    </row>
    <row r="157" spans="1:4">
      <c r="A157" s="64"/>
      <c r="B157" s="64"/>
      <c r="C157" s="70"/>
      <c r="D157" s="64"/>
    </row>
    <row r="158" spans="1:4">
      <c r="A158" s="64"/>
      <c r="B158" s="64"/>
      <c r="C158" s="70"/>
      <c r="D158" s="64"/>
    </row>
    <row r="159" spans="1:4">
      <c r="A159" s="64"/>
      <c r="B159" s="64"/>
      <c r="C159" s="70"/>
      <c r="D159" s="64"/>
    </row>
    <row r="160" spans="1:4">
      <c r="A160" s="64"/>
      <c r="B160" s="65"/>
      <c r="C160" s="71"/>
      <c r="D160" s="65"/>
    </row>
    <row r="161" spans="1:4">
      <c r="A161" s="64"/>
      <c r="B161" s="64"/>
      <c r="C161" s="70"/>
      <c r="D161" s="64"/>
    </row>
    <row r="162" spans="1:4">
      <c r="A162" s="64"/>
      <c r="B162" s="64"/>
      <c r="C162" s="70"/>
      <c r="D162" s="64"/>
    </row>
    <row r="163" spans="1:4">
      <c r="A163" s="64"/>
      <c r="B163" s="64"/>
      <c r="C163" s="70"/>
      <c r="D163" s="64"/>
    </row>
    <row r="164" spans="1:4">
      <c r="A164" s="64"/>
      <c r="B164" s="64"/>
      <c r="C164" s="70"/>
      <c r="D164" s="64"/>
    </row>
    <row r="165" spans="1:4">
      <c r="A165" s="64"/>
      <c r="B165" s="65"/>
      <c r="C165" s="71"/>
      <c r="D165" s="65"/>
    </row>
    <row r="166" spans="1:4">
      <c r="A166" s="64"/>
      <c r="B166" s="64"/>
      <c r="C166" s="70"/>
      <c r="D166" s="64"/>
    </row>
    <row r="167" spans="1:4">
      <c r="A167" s="64"/>
      <c r="B167" s="64"/>
      <c r="C167" s="70"/>
      <c r="D167" s="64"/>
    </row>
    <row r="168" spans="1:4">
      <c r="A168" s="64"/>
      <c r="B168" s="64"/>
      <c r="C168" s="70"/>
      <c r="D168" s="64"/>
    </row>
    <row r="169" spans="1:4">
      <c r="A169" s="64"/>
      <c r="B169" s="64"/>
      <c r="C169" s="70"/>
      <c r="D169" s="64"/>
    </row>
    <row r="170" spans="1:4">
      <c r="A170" s="64"/>
      <c r="B170" s="64"/>
      <c r="C170" s="70"/>
      <c r="D170" s="64"/>
    </row>
    <row r="171" spans="1:4">
      <c r="A171" s="64"/>
      <c r="B171" s="64"/>
      <c r="C171" s="70"/>
      <c r="D171" s="64"/>
    </row>
    <row r="172" spans="1:4">
      <c r="A172" s="64"/>
      <c r="B172" s="64"/>
      <c r="C172" s="70"/>
      <c r="D172" s="64"/>
    </row>
    <row r="173" spans="1:4">
      <c r="A173" s="64"/>
      <c r="B173" s="64"/>
      <c r="C173" s="70"/>
      <c r="D173" s="64"/>
    </row>
    <row r="174" spans="1:4">
      <c r="A174" s="64"/>
      <c r="B174" s="64"/>
      <c r="C174" s="70"/>
      <c r="D174" s="64"/>
    </row>
    <row r="175" spans="1:4">
      <c r="A175" s="64"/>
      <c r="B175" s="64"/>
      <c r="C175" s="70"/>
      <c r="D175" s="64"/>
    </row>
    <row r="176" spans="1:4">
      <c r="A176" s="64"/>
      <c r="B176" s="64"/>
      <c r="C176" s="70"/>
      <c r="D176" s="64"/>
    </row>
    <row r="177" spans="1:4">
      <c r="A177" s="64"/>
      <c r="B177" s="64"/>
      <c r="C177" s="70"/>
      <c r="D177" s="64"/>
    </row>
    <row r="178" spans="1:4">
      <c r="A178" s="64"/>
      <c r="B178" s="64"/>
      <c r="C178" s="70"/>
      <c r="D178" s="64"/>
    </row>
    <row r="179" spans="1:4">
      <c r="A179" s="64"/>
      <c r="B179" s="64"/>
      <c r="C179" s="70"/>
      <c r="D179" s="64"/>
    </row>
    <row r="180" spans="1:4">
      <c r="A180" s="64"/>
      <c r="B180" s="64"/>
      <c r="C180" s="70"/>
      <c r="D180" s="64"/>
    </row>
    <row r="181" spans="1:4">
      <c r="A181" s="64"/>
      <c r="B181" s="64"/>
      <c r="C181" s="70"/>
      <c r="D181" s="64"/>
    </row>
    <row r="182" spans="1:4">
      <c r="A182" s="64"/>
      <c r="B182" s="64"/>
      <c r="C182" s="70"/>
      <c r="D182" s="64"/>
    </row>
    <row r="183" spans="1:4">
      <c r="A183" s="64"/>
      <c r="B183" s="64"/>
      <c r="C183" s="70"/>
      <c r="D183" s="64"/>
    </row>
    <row r="184" spans="1:4">
      <c r="A184" s="64"/>
      <c r="B184" s="64"/>
      <c r="C184" s="70"/>
      <c r="D184" s="64"/>
    </row>
    <row r="185" spans="1:4">
      <c r="A185" s="64"/>
      <c r="B185" s="64"/>
      <c r="C185" s="70"/>
      <c r="D185" s="64"/>
    </row>
    <row r="186" spans="1:4">
      <c r="A186" s="64"/>
      <c r="B186" s="64"/>
      <c r="C186" s="70"/>
      <c r="D186" s="64"/>
    </row>
    <row r="187" spans="1:4">
      <c r="A187" s="64"/>
      <c r="B187" s="64"/>
      <c r="C187" s="70"/>
      <c r="D187" s="64"/>
    </row>
    <row r="188" spans="1:4">
      <c r="A188" s="64"/>
      <c r="B188" s="64"/>
      <c r="C188" s="70"/>
      <c r="D188" s="64"/>
    </row>
    <row r="189" spans="1:4">
      <c r="A189" s="64"/>
      <c r="B189" s="64"/>
      <c r="C189" s="70"/>
      <c r="D189" s="64"/>
    </row>
    <row r="190" spans="1:4">
      <c r="A190" s="64"/>
      <c r="B190" s="64"/>
      <c r="C190" s="70"/>
      <c r="D190" s="64"/>
    </row>
    <row r="191" spans="1:4">
      <c r="A191" s="64"/>
      <c r="B191" s="64"/>
      <c r="C191" s="70"/>
      <c r="D191" s="64"/>
    </row>
    <row r="192" spans="1:4">
      <c r="A192" s="64"/>
      <c r="B192" s="64"/>
      <c r="C192" s="70"/>
      <c r="D192" s="64"/>
    </row>
    <row r="193" spans="1:4">
      <c r="A193" s="64"/>
      <c r="B193" s="64"/>
      <c r="C193" s="70"/>
      <c r="D193" s="64"/>
    </row>
    <row r="194" spans="1:4">
      <c r="A194" s="64"/>
      <c r="B194" s="64"/>
      <c r="C194" s="70"/>
      <c r="D194" s="64"/>
    </row>
    <row r="195" spans="1:4">
      <c r="A195" s="64"/>
      <c r="B195" s="64"/>
      <c r="C195" s="70"/>
      <c r="D195" s="64"/>
    </row>
    <row r="196" spans="1:4">
      <c r="A196" s="64"/>
      <c r="B196" s="64"/>
      <c r="C196" s="70"/>
      <c r="D196" s="64"/>
    </row>
    <row r="197" spans="1:4">
      <c r="A197" s="64"/>
      <c r="B197" s="64"/>
      <c r="C197" s="70"/>
      <c r="D197" s="64"/>
    </row>
    <row r="198" spans="1:4">
      <c r="A198" s="64"/>
      <c r="B198" s="64"/>
      <c r="C198" s="70"/>
      <c r="D198" s="64"/>
    </row>
    <row r="199" spans="1:4">
      <c r="A199" s="64"/>
      <c r="B199" s="64"/>
      <c r="C199" s="70"/>
      <c r="D199" s="64"/>
    </row>
    <row r="200" spans="1:4">
      <c r="A200" s="64"/>
      <c r="B200" s="64"/>
      <c r="C200" s="70"/>
      <c r="D200" s="64"/>
    </row>
    <row r="201" spans="1:4">
      <c r="A201" s="64"/>
      <c r="B201" s="64"/>
      <c r="C201" s="70"/>
      <c r="D201" s="64"/>
    </row>
    <row r="202" spans="1:4">
      <c r="A202" s="64"/>
      <c r="B202" s="64"/>
      <c r="C202" s="70"/>
      <c r="D202" s="64"/>
    </row>
    <row r="203" spans="1:4">
      <c r="A203" s="64"/>
      <c r="B203" s="64"/>
      <c r="C203" s="70"/>
      <c r="D203" s="64"/>
    </row>
    <row r="204" spans="1:4">
      <c r="A204" s="64"/>
      <c r="B204" s="64"/>
      <c r="C204" s="70"/>
      <c r="D204" s="64"/>
    </row>
    <row r="205" spans="1:4">
      <c r="A205" s="64"/>
      <c r="B205" s="64"/>
      <c r="C205" s="70"/>
      <c r="D205" s="64"/>
    </row>
    <row r="206" spans="1:4">
      <c r="A206" s="64"/>
      <c r="B206" s="64"/>
      <c r="C206" s="70"/>
      <c r="D206" s="64"/>
    </row>
    <row r="207" spans="1:4">
      <c r="A207" s="64"/>
      <c r="B207" s="64"/>
      <c r="C207" s="70"/>
      <c r="D207" s="64"/>
    </row>
    <row r="208" spans="1:4">
      <c r="A208" s="64"/>
      <c r="B208" s="64"/>
      <c r="C208" s="70"/>
      <c r="D208" s="64"/>
    </row>
    <row r="209" spans="1:4">
      <c r="A209" s="64"/>
      <c r="B209" s="64"/>
      <c r="C209" s="70"/>
      <c r="D209" s="64"/>
    </row>
    <row r="210" spans="1:4">
      <c r="A210" s="64"/>
      <c r="B210" s="64"/>
      <c r="C210" s="70"/>
      <c r="D210" s="64"/>
    </row>
    <row r="211" spans="1:4">
      <c r="A211" s="64"/>
      <c r="B211" s="64"/>
      <c r="C211" s="70"/>
      <c r="D211" s="64"/>
    </row>
    <row r="212" spans="1:4">
      <c r="A212" s="64"/>
      <c r="B212" s="64"/>
      <c r="C212" s="70"/>
      <c r="D212" s="64"/>
    </row>
    <row r="213" spans="1:4">
      <c r="A213" s="64"/>
      <c r="B213" s="64"/>
      <c r="C213" s="70"/>
      <c r="D213" s="64"/>
    </row>
    <row r="214" spans="1:4">
      <c r="B214" s="64"/>
      <c r="C214" s="70"/>
      <c r="D214" s="64"/>
    </row>
    <row r="215" spans="1:4">
      <c r="B215" s="64"/>
      <c r="C215" s="70"/>
      <c r="D215" s="64"/>
    </row>
    <row r="216" spans="1:4">
      <c r="B216" s="64"/>
      <c r="C216" s="70"/>
      <c r="D216" s="64"/>
    </row>
    <row r="217" spans="1:4">
      <c r="B217" s="64"/>
      <c r="C217" s="70"/>
      <c r="D217" s="64"/>
    </row>
    <row r="218" spans="1:4">
      <c r="B218" s="64"/>
      <c r="C218" s="70"/>
      <c r="D218" s="64"/>
    </row>
    <row r="219" spans="1:4">
      <c r="B219" s="64"/>
      <c r="C219" s="70"/>
      <c r="D219" s="64"/>
    </row>
    <row r="220" spans="1:4">
      <c r="B220" s="64"/>
      <c r="C220" s="70"/>
      <c r="D220" s="64"/>
    </row>
    <row r="221" spans="1:4">
      <c r="B221" s="64"/>
      <c r="C221" s="70"/>
      <c r="D221" s="64"/>
    </row>
    <row r="222" spans="1:4">
      <c r="B222" s="64"/>
      <c r="C222" s="70"/>
      <c r="D222" s="64"/>
    </row>
    <row r="223" spans="1:4">
      <c r="B223" s="64"/>
      <c r="C223" s="70"/>
      <c r="D223" s="64"/>
    </row>
    <row r="224" spans="1:4">
      <c r="B224" s="64"/>
      <c r="C224" s="70"/>
      <c r="D224" s="64"/>
    </row>
    <row r="225" spans="2:4">
      <c r="B225" s="64"/>
      <c r="C225" s="70"/>
      <c r="D225" s="64"/>
    </row>
    <row r="226" spans="2:4">
      <c r="B226" s="64"/>
      <c r="C226" s="70"/>
      <c r="D226" s="64"/>
    </row>
    <row r="227" spans="2:4">
      <c r="B227" s="64"/>
      <c r="C227" s="70"/>
      <c r="D227" s="64"/>
    </row>
    <row r="228" spans="2:4">
      <c r="B228" s="64"/>
      <c r="C228" s="70"/>
      <c r="D228" s="64"/>
    </row>
    <row r="229" spans="2:4">
      <c r="B229" s="64"/>
      <c r="C229" s="70"/>
      <c r="D229" s="64"/>
    </row>
  </sheetData>
  <mergeCells count="43">
    <mergeCell ref="D1:R1"/>
    <mergeCell ref="B15:C15"/>
    <mergeCell ref="G9:H9"/>
    <mergeCell ref="N3:P3"/>
    <mergeCell ref="N2:R2"/>
    <mergeCell ref="B5:F6"/>
    <mergeCell ref="B14:C14"/>
    <mergeCell ref="N9:P9"/>
    <mergeCell ref="B8:F8"/>
    <mergeCell ref="G3:H3"/>
    <mergeCell ref="N6:P6"/>
    <mergeCell ref="Q4:R4"/>
    <mergeCell ref="B13:C13"/>
    <mergeCell ref="K3:L4"/>
    <mergeCell ref="G5:G6"/>
    <mergeCell ref="J2:L2"/>
    <mergeCell ref="B2:H2"/>
    <mergeCell ref="F17:H17"/>
    <mergeCell ref="N8:P8"/>
    <mergeCell ref="J3:J5"/>
    <mergeCell ref="G8:H8"/>
    <mergeCell ref="B9:C10"/>
    <mergeCell ref="B12:C12"/>
    <mergeCell ref="E9:E10"/>
    <mergeCell ref="B11:C11"/>
    <mergeCell ref="G7:H7"/>
    <mergeCell ref="N10:P10"/>
    <mergeCell ref="J16:J17"/>
    <mergeCell ref="K16:L17"/>
    <mergeCell ref="B16:C16"/>
    <mergeCell ref="B7:F7"/>
    <mergeCell ref="D9:D10"/>
    <mergeCell ref="F9:F10"/>
    <mergeCell ref="Q6:R6"/>
    <mergeCell ref="Q3:R3"/>
    <mergeCell ref="N11:R11"/>
    <mergeCell ref="B3:F3"/>
    <mergeCell ref="N5:P5"/>
    <mergeCell ref="Q5:R5"/>
    <mergeCell ref="N4:P4"/>
    <mergeCell ref="G4:H4"/>
    <mergeCell ref="N7:P7"/>
    <mergeCell ref="B4:F4"/>
  </mergeCells>
  <conditionalFormatting sqref="B5:H6">
    <cfRule type="expression" dxfId="4" priority="4">
      <formula>$G$9="Projetos com até 99 PF - Complexidade Média ou Alta"</formula>
    </cfRule>
    <cfRule type="expression" dxfId="3" priority="5">
      <formula>$G$9="Projetos com até 99 PF - Complexidade Baixa"</formula>
    </cfRule>
  </conditionalFormatting>
  <conditionalFormatting sqref="E12">
    <cfRule type="expression" dxfId="2" priority="1">
      <formula>AND((OR($E$12=15%,$E$12=10%)),$E$12&lt;&gt;$D$12)</formula>
    </cfRule>
  </conditionalFormatting>
  <conditionalFormatting sqref="E14">
    <cfRule type="expression" dxfId="1" priority="2">
      <formula>AND((OR($E$14=15%,$E$14=10%)),$E$14&lt;&gt;$D$14)</formula>
    </cfRule>
  </conditionalFormatting>
  <conditionalFormatting sqref="E17">
    <cfRule type="expression" dxfId="0" priority="3">
      <formula>$E$17&lt;&gt;100%</formula>
    </cfRule>
  </conditionalFormatting>
  <dataValidations xWindow="572" yWindow="260" count="8">
    <dataValidation allowBlank="1" showInputMessage="1" showErrorMessage="1" prompt="Atenção ao alterar esse valor, pois ele varia de acordo com a versão do SISP" sqref="E12 E14" xr:uid="{00000000-0002-0000-0800-000000000000}"/>
    <dataValidation type="list" showInputMessage="1" showErrorMessage="1" prompt="Informe qual o tipo de projeto para determinação do expoente utilizado na fórmula de Capers Jones. Para descrição e valor referir-se a tabela abaixo" sqref="G5:G6" xr:uid="{00000000-0002-0000-0800-000001000000}"/>
    <dataValidation showInputMessage="1" showErrorMessage="1" sqref="H5:H6" xr:uid="{00000000-0002-0000-0800-000002000000}"/>
    <dataValidation type="list" allowBlank="1" showInputMessage="1" showErrorMessage="1" prompt="Informe qual o tipo de prazo que deseja distribuir os dias, se em dias úteis ou em dias corridos._x000a_Proporção utilizada: 7 dias corridos para cada 5 dias úteis (7/5)" sqref="G3:H3" xr:uid="{00000000-0002-0000-0800-000003000000}">
      <formula1>"Úteis, Corridos"</formula1>
    </dataValidation>
    <dataValidation type="list" allowBlank="1" showInputMessage="1" showErrorMessage="1" prompt="Informe qual a versão do Roteiro de Métricas (SISP) adota para o cálculo do prazo" sqref="G4:H4" xr:uid="{00000000-0002-0000-0800-000004000000}">
      <formula1>"SISP v1.0, SISP v2.0/2.1"</formula1>
    </dataValidation>
    <dataValidation type="list" allowBlank="1" showInputMessage="1" showErrorMessage="1" prompt="Informe a complexidade do projeto._x000a_Informação relevante apenas para projetos com menos de 100 PF" sqref="G7:H7" xr:uid="{00000000-0002-0000-0800-000005000000}">
      <formula1>"Projetos com até 99 PF - Complexidade Baixa, Projetos com até 99 PF - Complexidade Média ou Alta, Projetos com mais de 99 PF "</formula1>
    </dataValidation>
    <dataValidation type="decimal" allowBlank="1" showInputMessage="1" showErrorMessage="1" error="- Este campo aceita apenas números_x000a_- Projetos com mais de 99 PF devem  ter mais de 99 PF_x000a_- Projetos com até 99 PF devem no máximo ter 99 PF" prompt="Informe a quantidade de PF que deseja calcular o prazo" sqref="G8" xr:uid="{00000000-0002-0000-0800-000006000000}">
      <formula1>IF(G7="Projetos com mais de 99 PF ",99.0000001,0)</formula1>
      <formula2>IF(G7="Projetos com mais de 99 PF ",9.99999999999999E+23,99)</formula2>
    </dataValidation>
    <dataValidation type="whole" operator="greaterThan" allowBlank="1" showInputMessage="1" showErrorMessage="1" error="Data limite tem que ser maior que data inicial" prompt="Informe a data que deseja que o projeto finalize" sqref="Q4:R4" xr:uid="{00000000-0002-0000-0800-000007000000}">
      <formula1>G11</formula1>
    </dataValidation>
  </dataValidations>
  <pageMargins left="0.511811024" right="0.511811024" top="0.78740157499999996" bottom="0.78740157499999996" header="0.31496062000000002" footer="0.31496062000000002"/>
  <pageSetup paperSize="9" orientation="portrait" horizontalDpi="300" verticalDpi="300"/>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249977111117893"/>
  </sheetPr>
  <dimension ref="A1:R24"/>
  <sheetViews>
    <sheetView showGridLines="0" workbookViewId="0">
      <selection activeCell="C2" sqref="C2"/>
    </sheetView>
  </sheetViews>
  <sheetFormatPr baseColWidth="10" defaultColWidth="8.83203125" defaultRowHeight="13"/>
  <cols>
    <col min="1" max="1" width="23.1640625" customWidth="1"/>
    <col min="2" max="2" width="11.83203125" customWidth="1"/>
    <col min="3" max="3" width="11.1640625" customWidth="1"/>
    <col min="4" max="5" width="12.1640625" customWidth="1"/>
    <col min="6" max="6" width="15.83203125" customWidth="1"/>
    <col min="7" max="7" width="12.1640625" customWidth="1"/>
    <col min="8" max="8" width="15.83203125" customWidth="1"/>
    <col min="9" max="9" width="15.1640625" customWidth="1"/>
  </cols>
  <sheetData>
    <row r="1" spans="1:18" s="1" customFormat="1" ht="69" customHeight="1">
      <c r="A1" s="18" t="str">
        <f>Resumo!A1</f>
        <v>Contagem de Pontos de Função</v>
      </c>
      <c r="B1" s="18"/>
      <c r="C1" s="391" t="s">
        <v>178</v>
      </c>
      <c r="D1" s="380"/>
      <c r="E1" s="380"/>
      <c r="F1" s="380"/>
      <c r="G1" s="380"/>
      <c r="H1" s="380"/>
      <c r="I1" s="380"/>
      <c r="J1" s="19"/>
      <c r="K1" s="19"/>
      <c r="L1" s="19"/>
      <c r="M1" s="19"/>
      <c r="N1" s="19"/>
      <c r="O1" s="19"/>
      <c r="P1" s="19"/>
      <c r="Q1" s="19"/>
      <c r="R1" s="19"/>
    </row>
    <row r="3" spans="1:18">
      <c r="A3" s="6" t="s">
        <v>179</v>
      </c>
      <c r="C3" s="8">
        <v>8</v>
      </c>
    </row>
    <row r="4" spans="1:18" ht="45" customHeight="1">
      <c r="B4" s="6"/>
      <c r="D4" s="9" t="s">
        <v>158</v>
      </c>
      <c r="E4" s="9" t="s">
        <v>180</v>
      </c>
      <c r="F4" s="9" t="s">
        <v>27</v>
      </c>
      <c r="G4" s="9" t="s">
        <v>166</v>
      </c>
      <c r="H4" s="9" t="s">
        <v>168</v>
      </c>
      <c r="I4" s="9" t="s">
        <v>170</v>
      </c>
    </row>
    <row r="5" spans="1:18" ht="15" customHeight="1">
      <c r="A5" s="7" t="s">
        <v>50</v>
      </c>
      <c r="B5" s="7" t="s">
        <v>181</v>
      </c>
      <c r="C5" s="11" t="s">
        <v>182</v>
      </c>
      <c r="D5" s="10">
        <f>Resumo!G19</f>
        <v>0.2</v>
      </c>
      <c r="E5" s="10">
        <f>Resumo!G20</f>
        <v>0.6</v>
      </c>
      <c r="F5" s="10">
        <f>Resumo!G21</f>
        <v>0</v>
      </c>
      <c r="G5" s="10">
        <f>Resumo!G22</f>
        <v>0</v>
      </c>
      <c r="H5" s="10">
        <f>Resumo!G23</f>
        <v>0</v>
      </c>
      <c r="I5" s="10">
        <f>Resumo!G24</f>
        <v>0.2</v>
      </c>
    </row>
    <row r="6" spans="1:18">
      <c r="A6" s="2"/>
      <c r="B6" s="4">
        <f>IF(Resumo!$B$5="Detalhada",SUMIF('AFP - Detalhada'!$E$10:$E$192,Esforço!A6,'AFP - Detalhada'!$S$10:$S$192),IF(Resumo!B5="Estimativa",SUMIF('AFP - Estimativa'!$E$10:$E$383,Esforço!A6,'AFP - Estimativa'!$J$10:$J$383)*(1+'AFP - Estimativa'!$C$6),IF(Resumo!B5="Indicativa",SUMIF('AFP - Indicativa'!$C$10:$C$108,Esforço!A6,'AFP - Indicativa'!$G$10:$G$108)*(1+'AFP - Indicativa'!$C$6),0)))</f>
        <v>0</v>
      </c>
      <c r="C6" s="4">
        <f t="shared" ref="C6:C23" si="0">ROUND(B6*$C$3,0)</f>
        <v>0</v>
      </c>
      <c r="D6" s="4">
        <f t="shared" ref="D6:I15" si="1">ROUND($C6*D$5,0)</f>
        <v>0</v>
      </c>
      <c r="E6" s="4">
        <f t="shared" si="1"/>
        <v>0</v>
      </c>
      <c r="F6" s="4">
        <f t="shared" si="1"/>
        <v>0</v>
      </c>
      <c r="G6" s="4">
        <f t="shared" si="1"/>
        <v>0</v>
      </c>
      <c r="H6" s="4">
        <f t="shared" si="1"/>
        <v>0</v>
      </c>
      <c r="I6" s="4">
        <f t="shared" si="1"/>
        <v>0</v>
      </c>
    </row>
    <row r="7" spans="1:18">
      <c r="A7" s="2"/>
      <c r="B7" s="4">
        <f>IF(Resumo!$B$5="Detalhada",SUMIF('AFP - Detalhada'!$E$10:$E$192,Esforço!A7,'AFP - Detalhada'!$S$10:$S$192),IF(Resumo!B7="Estimativa",SUMIF('AFP - Estimativa'!$E$10:$E$383,Esforço!A7,'AFP - Estimativa'!$J$10:$J$383)*(1+'AFP - Estimativa'!$C$6),IF(Resumo!B7="Indicativa",SUMIF('AFP - Indicativa'!$C$10:$C$108,Esforço!A7,'AFP - Indicativa'!$G$10:$G$108)*(1+'AFP - Indicativa'!$C$6),0)))</f>
        <v>0</v>
      </c>
      <c r="C7" s="4">
        <f t="shared" si="0"/>
        <v>0</v>
      </c>
      <c r="D7" s="4">
        <f t="shared" si="1"/>
        <v>0</v>
      </c>
      <c r="E7" s="4">
        <f t="shared" si="1"/>
        <v>0</v>
      </c>
      <c r="F7" s="4">
        <f t="shared" si="1"/>
        <v>0</v>
      </c>
      <c r="G7" s="4">
        <f t="shared" si="1"/>
        <v>0</v>
      </c>
      <c r="H7" s="4">
        <f t="shared" si="1"/>
        <v>0</v>
      </c>
      <c r="I7" s="4">
        <f t="shared" si="1"/>
        <v>0</v>
      </c>
    </row>
    <row r="8" spans="1:18">
      <c r="A8" s="2"/>
      <c r="B8" s="4">
        <f>IF(Resumo!$B$5="Detalhada",SUMIF('AFP - Detalhada'!$E$10:$E$192,Esforço!A8,'AFP - Detalhada'!$S$10:$S$192),IF(Resumo!B8="Estimativa",SUMIF('AFP - Estimativa'!$E$10:$E$383,Esforço!A8,'AFP - Estimativa'!$J$10:$J$383)*(1+'AFP - Estimativa'!$C$6),IF(Resumo!B8="Indicativa",SUMIF('AFP - Indicativa'!$C$10:$C$108,Esforço!A8,'AFP - Indicativa'!$G$10:$G$108)*(1+'AFP - Indicativa'!$C$6),0)))</f>
        <v>0</v>
      </c>
      <c r="C8" s="4">
        <f t="shared" si="0"/>
        <v>0</v>
      </c>
      <c r="D8" s="4">
        <f t="shared" si="1"/>
        <v>0</v>
      </c>
      <c r="E8" s="4">
        <f t="shared" si="1"/>
        <v>0</v>
      </c>
      <c r="F8" s="4">
        <f t="shared" si="1"/>
        <v>0</v>
      </c>
      <c r="G8" s="4">
        <f t="shared" si="1"/>
        <v>0</v>
      </c>
      <c r="H8" s="4">
        <f t="shared" si="1"/>
        <v>0</v>
      </c>
      <c r="I8" s="4">
        <f t="shared" si="1"/>
        <v>0</v>
      </c>
    </row>
    <row r="9" spans="1:18">
      <c r="A9" s="2"/>
      <c r="B9" s="4">
        <f>IF(Resumo!$B$5="Detalhada",SUMIF('AFP - Detalhada'!$E$10:$E$192,Esforço!A9,'AFP - Detalhada'!$S$10:$S$192),IF(Resumo!B9="Estimativa",SUMIF('AFP - Estimativa'!$E$10:$E$383,Esforço!A9,'AFP - Estimativa'!$J$10:$J$383)*(1+'AFP - Estimativa'!$C$6),IF(Resumo!B9="Indicativa",SUMIF('AFP - Indicativa'!$C$10:$C$108,Esforço!A9,'AFP - Indicativa'!$G$10:$G$108)*(1+'AFP - Indicativa'!$C$6),0)))</f>
        <v>0</v>
      </c>
      <c r="C9" s="4">
        <f t="shared" si="0"/>
        <v>0</v>
      </c>
      <c r="D9" s="4">
        <f t="shared" si="1"/>
        <v>0</v>
      </c>
      <c r="E9" s="4">
        <f t="shared" si="1"/>
        <v>0</v>
      </c>
      <c r="F9" s="4">
        <f t="shared" si="1"/>
        <v>0</v>
      </c>
      <c r="G9" s="4">
        <f t="shared" si="1"/>
        <v>0</v>
      </c>
      <c r="H9" s="4">
        <f t="shared" si="1"/>
        <v>0</v>
      </c>
      <c r="I9" s="4">
        <f t="shared" si="1"/>
        <v>0</v>
      </c>
    </row>
    <row r="10" spans="1:18">
      <c r="A10" s="2"/>
      <c r="B10" s="4">
        <f>IF(Resumo!$B$5="Detalhada",SUMIF('AFP - Detalhada'!$E$10:$E$192,Esforço!A10,'AFP - Detalhada'!$S$10:$S$192),IF(Resumo!B10="Estimativa",SUMIF('AFP - Estimativa'!$E$10:$E$383,Esforço!A10,'AFP - Estimativa'!$J$10:$J$383)*(1+'AFP - Estimativa'!$C$6),IF(Resumo!B10="Indicativa",SUMIF('AFP - Indicativa'!$C$10:$C$108,Esforço!A10,'AFP - Indicativa'!$G$10:$G$108)*(1+'AFP - Indicativa'!$C$6),0)))</f>
        <v>0</v>
      </c>
      <c r="C10" s="4">
        <f t="shared" si="0"/>
        <v>0</v>
      </c>
      <c r="D10" s="4">
        <f t="shared" si="1"/>
        <v>0</v>
      </c>
      <c r="E10" s="4">
        <f t="shared" si="1"/>
        <v>0</v>
      </c>
      <c r="F10" s="4">
        <f t="shared" si="1"/>
        <v>0</v>
      </c>
      <c r="G10" s="4">
        <f t="shared" si="1"/>
        <v>0</v>
      </c>
      <c r="H10" s="4">
        <f t="shared" si="1"/>
        <v>0</v>
      </c>
      <c r="I10" s="4">
        <f t="shared" si="1"/>
        <v>0</v>
      </c>
    </row>
    <row r="11" spans="1:18">
      <c r="A11" s="2"/>
      <c r="B11" s="4">
        <f>IF(Resumo!$B$5="Detalhada",SUMIF('AFP - Detalhada'!$E$10:$E$192,Esforço!A11,'AFP - Detalhada'!$S$10:$S$192),IF(Resumo!B11="Estimativa",SUMIF('AFP - Estimativa'!$E$10:$E$383,Esforço!A11,'AFP - Estimativa'!$J$10:$J$383)*(1+'AFP - Estimativa'!$C$6),IF(Resumo!B11="Indicativa",SUMIF('AFP - Indicativa'!$C$10:$C$108,Esforço!A11,'AFP - Indicativa'!$G$10:$G$108)*(1+'AFP - Indicativa'!$C$6),0)))</f>
        <v>0</v>
      </c>
      <c r="C11" s="4">
        <f t="shared" si="0"/>
        <v>0</v>
      </c>
      <c r="D11" s="4">
        <f t="shared" si="1"/>
        <v>0</v>
      </c>
      <c r="E11" s="4">
        <f t="shared" si="1"/>
        <v>0</v>
      </c>
      <c r="F11" s="4">
        <f t="shared" si="1"/>
        <v>0</v>
      </c>
      <c r="G11" s="4">
        <f t="shared" si="1"/>
        <v>0</v>
      </c>
      <c r="H11" s="4">
        <f t="shared" si="1"/>
        <v>0</v>
      </c>
      <c r="I11" s="4">
        <f t="shared" si="1"/>
        <v>0</v>
      </c>
    </row>
    <row r="12" spans="1:18">
      <c r="A12" s="2"/>
      <c r="B12" s="4">
        <f>IF(Resumo!$B$5="Detalhada",SUMIF('AFP - Detalhada'!$E$10:$E$192,Esforço!A12,'AFP - Detalhada'!$S$10:$S$192),IF(Resumo!B12="Estimativa",SUMIF('AFP - Estimativa'!$E$10:$E$383,Esforço!A12,'AFP - Estimativa'!$J$10:$J$383)*(1+'AFP - Estimativa'!$C$6),IF(Resumo!B12="Indicativa",SUMIF('AFP - Indicativa'!$C$10:$C$108,Esforço!A12,'AFP - Indicativa'!$G$10:$G$108)*(1+'AFP - Indicativa'!$C$6),0)))</f>
        <v>0</v>
      </c>
      <c r="C12" s="4">
        <f t="shared" si="0"/>
        <v>0</v>
      </c>
      <c r="D12" s="4">
        <f t="shared" si="1"/>
        <v>0</v>
      </c>
      <c r="E12" s="4">
        <f t="shared" si="1"/>
        <v>0</v>
      </c>
      <c r="F12" s="4">
        <f t="shared" si="1"/>
        <v>0</v>
      </c>
      <c r="G12" s="4">
        <f t="shared" si="1"/>
        <v>0</v>
      </c>
      <c r="H12" s="4">
        <f t="shared" si="1"/>
        <v>0</v>
      </c>
      <c r="I12" s="4">
        <f t="shared" si="1"/>
        <v>0</v>
      </c>
    </row>
    <row r="13" spans="1:18">
      <c r="A13" s="2"/>
      <c r="B13" s="4">
        <f>IF(Resumo!$B$5="Detalhada",SUMIF('AFP - Detalhada'!$E$10:$E$192,Esforço!A13,'AFP - Detalhada'!$S$10:$S$192),IF(Resumo!B13="Estimativa",SUMIF('AFP - Estimativa'!$E$10:$E$383,Esforço!A13,'AFP - Estimativa'!$J$10:$J$383)*(1+'AFP - Estimativa'!$C$6),IF(Resumo!B13="Indicativa",SUMIF('AFP - Indicativa'!$C$10:$C$108,Esforço!A13,'AFP - Indicativa'!$G$10:$G$108)*(1+'AFP - Indicativa'!$C$6),0)))</f>
        <v>0</v>
      </c>
      <c r="C13" s="4">
        <f t="shared" si="0"/>
        <v>0</v>
      </c>
      <c r="D13" s="4">
        <f t="shared" si="1"/>
        <v>0</v>
      </c>
      <c r="E13" s="4">
        <f t="shared" si="1"/>
        <v>0</v>
      </c>
      <c r="F13" s="4">
        <f t="shared" si="1"/>
        <v>0</v>
      </c>
      <c r="G13" s="4">
        <f t="shared" si="1"/>
        <v>0</v>
      </c>
      <c r="H13" s="4">
        <f t="shared" si="1"/>
        <v>0</v>
      </c>
      <c r="I13" s="4">
        <f t="shared" si="1"/>
        <v>0</v>
      </c>
    </row>
    <row r="14" spans="1:18">
      <c r="A14" s="2"/>
      <c r="B14" s="4">
        <f>IF(Resumo!$B$5="Detalhada",SUMIF('AFP - Detalhada'!$E$10:$E$192,Esforço!A14,'AFP - Detalhada'!$S$10:$S$192),IF(Resumo!B14="Estimativa",SUMIF('AFP - Estimativa'!$E$10:$E$383,Esforço!A14,'AFP - Estimativa'!$J$10:$J$383)*(1+'AFP - Estimativa'!$C$6),IF(Resumo!B14="Indicativa",SUMIF('AFP - Indicativa'!$C$10:$C$108,Esforço!A14,'AFP - Indicativa'!$G$10:$G$108)*(1+'AFP - Indicativa'!$C$6),0)))</f>
        <v>0</v>
      </c>
      <c r="C14" s="4">
        <f t="shared" si="0"/>
        <v>0</v>
      </c>
      <c r="D14" s="4">
        <f t="shared" si="1"/>
        <v>0</v>
      </c>
      <c r="E14" s="4">
        <f t="shared" si="1"/>
        <v>0</v>
      </c>
      <c r="F14" s="4">
        <f t="shared" si="1"/>
        <v>0</v>
      </c>
      <c r="G14" s="4">
        <f t="shared" si="1"/>
        <v>0</v>
      </c>
      <c r="H14" s="4">
        <f t="shared" si="1"/>
        <v>0</v>
      </c>
      <c r="I14" s="4">
        <f t="shared" si="1"/>
        <v>0</v>
      </c>
    </row>
    <row r="15" spans="1:18">
      <c r="A15" s="2"/>
      <c r="B15" s="4">
        <f>IF(Resumo!$B$5="Detalhada",SUMIF('AFP - Detalhada'!$E$10:$E$192,Esforço!A15,'AFP - Detalhada'!$S$10:$S$192),IF(Resumo!B15="Estimativa",SUMIF('AFP - Estimativa'!$E$10:$E$383,Esforço!A15,'AFP - Estimativa'!$J$10:$J$383)*(1+'AFP - Estimativa'!$C$6),IF(Resumo!B15="Indicativa",SUMIF('AFP - Indicativa'!$C$10:$C$108,Esforço!A15,'AFP - Indicativa'!$G$10:$G$108)*(1+'AFP - Indicativa'!$C$6),0)))</f>
        <v>0</v>
      </c>
      <c r="C15" s="4">
        <f t="shared" si="0"/>
        <v>0</v>
      </c>
      <c r="D15" s="4">
        <f t="shared" si="1"/>
        <v>0</v>
      </c>
      <c r="E15" s="4">
        <f t="shared" si="1"/>
        <v>0</v>
      </c>
      <c r="F15" s="4">
        <f t="shared" si="1"/>
        <v>0</v>
      </c>
      <c r="G15" s="4">
        <f t="shared" si="1"/>
        <v>0</v>
      </c>
      <c r="H15" s="4">
        <f t="shared" si="1"/>
        <v>0</v>
      </c>
      <c r="I15" s="4">
        <f t="shared" si="1"/>
        <v>0</v>
      </c>
    </row>
    <row r="16" spans="1:18">
      <c r="A16" s="2"/>
      <c r="B16" s="4">
        <f>IF(Resumo!$B$5="Detalhada",SUMIF('AFP - Detalhada'!$E$10:$E$192,Esforço!A16,'AFP - Detalhada'!$S$10:$S$192),IF(Resumo!B16="Estimativa",SUMIF('AFP - Estimativa'!$E$10:$E$383,Esforço!A16,'AFP - Estimativa'!$J$10:$J$383)*(1+'AFP - Estimativa'!$C$6),IF(Resumo!B16="Indicativa",SUMIF('AFP - Indicativa'!$C$10:$C$108,Esforço!A16,'AFP - Indicativa'!$G$10:$G$108)*(1+'AFP - Indicativa'!$C$6),0)))</f>
        <v>0</v>
      </c>
      <c r="C16" s="4">
        <f t="shared" si="0"/>
        <v>0</v>
      </c>
      <c r="D16" s="4">
        <f t="shared" ref="D16:I23" si="2">ROUND($C16*D$5,0)</f>
        <v>0</v>
      </c>
      <c r="E16" s="4">
        <f t="shared" si="2"/>
        <v>0</v>
      </c>
      <c r="F16" s="4">
        <f t="shared" si="2"/>
        <v>0</v>
      </c>
      <c r="G16" s="4">
        <f t="shared" si="2"/>
        <v>0</v>
      </c>
      <c r="H16" s="4">
        <f t="shared" si="2"/>
        <v>0</v>
      </c>
      <c r="I16" s="4">
        <f t="shared" si="2"/>
        <v>0</v>
      </c>
    </row>
    <row r="17" spans="1:9">
      <c r="A17" s="2"/>
      <c r="B17" s="4">
        <f>IF(Resumo!$B$5="Detalhada",SUMIF('AFP - Detalhada'!$E$10:$E$192,Esforço!A17,'AFP - Detalhada'!$S$10:$S$192),IF(Resumo!B17="Estimativa",SUMIF('AFP - Estimativa'!$E$10:$E$383,Esforço!A17,'AFP - Estimativa'!$J$10:$J$383)*(1+'AFP - Estimativa'!$C$6),IF(Resumo!B17="Indicativa",SUMIF('AFP - Indicativa'!$C$10:$C$108,Esforço!A17,'AFP - Indicativa'!$G$10:$G$108)*(1+'AFP - Indicativa'!$C$6),0)))</f>
        <v>0</v>
      </c>
      <c r="C17" s="4">
        <f t="shared" si="0"/>
        <v>0</v>
      </c>
      <c r="D17" s="4">
        <f t="shared" si="2"/>
        <v>0</v>
      </c>
      <c r="E17" s="4">
        <f t="shared" si="2"/>
        <v>0</v>
      </c>
      <c r="F17" s="4">
        <f t="shared" si="2"/>
        <v>0</v>
      </c>
      <c r="G17" s="4">
        <f t="shared" si="2"/>
        <v>0</v>
      </c>
      <c r="H17" s="4">
        <f t="shared" si="2"/>
        <v>0</v>
      </c>
      <c r="I17" s="4">
        <f t="shared" si="2"/>
        <v>0</v>
      </c>
    </row>
    <row r="18" spans="1:9">
      <c r="A18" s="2"/>
      <c r="B18" s="4">
        <f>IF(Resumo!$B$5="Detalhada",SUMIF('AFP - Detalhada'!$E$10:$E$192,Esforço!A18,'AFP - Detalhada'!$S$10:$S$192),IF(Resumo!B18="Estimativa",SUMIF('AFP - Estimativa'!$E$10:$E$383,Esforço!A18,'AFP - Estimativa'!$J$10:$J$383)*(1+'AFP - Estimativa'!$C$6),IF(Resumo!B18="Indicativa",SUMIF('AFP - Indicativa'!$C$10:$C$108,Esforço!A18,'AFP - Indicativa'!$G$10:$G$108)*(1+'AFP - Indicativa'!$C$6),0)))</f>
        <v>0</v>
      </c>
      <c r="C18" s="4">
        <f t="shared" si="0"/>
        <v>0</v>
      </c>
      <c r="D18" s="4">
        <f t="shared" si="2"/>
        <v>0</v>
      </c>
      <c r="E18" s="4">
        <f t="shared" si="2"/>
        <v>0</v>
      </c>
      <c r="F18" s="4">
        <f t="shared" si="2"/>
        <v>0</v>
      </c>
      <c r="G18" s="4">
        <f t="shared" si="2"/>
        <v>0</v>
      </c>
      <c r="H18" s="4">
        <f t="shared" si="2"/>
        <v>0</v>
      </c>
      <c r="I18" s="4">
        <f t="shared" si="2"/>
        <v>0</v>
      </c>
    </row>
    <row r="19" spans="1:9">
      <c r="A19" s="2"/>
      <c r="B19" s="4">
        <f>IF(Resumo!$B$5="Detalhada",SUMIF('AFP - Detalhada'!$E$10:$E$192,Esforço!A19,'AFP - Detalhada'!$S$10:$S$192),IF(Resumo!B19="Estimativa",SUMIF('AFP - Estimativa'!$E$10:$E$383,Esforço!A19,'AFP - Estimativa'!$J$10:$J$383)*(1+'AFP - Estimativa'!$C$6),IF(Resumo!B19="Indicativa",SUMIF('AFP - Indicativa'!$C$10:$C$108,Esforço!A19,'AFP - Indicativa'!$G$10:$G$108)*(1+'AFP - Indicativa'!$C$6),0)))</f>
        <v>0</v>
      </c>
      <c r="C19" s="4">
        <f t="shared" si="0"/>
        <v>0</v>
      </c>
      <c r="D19" s="4">
        <f t="shared" si="2"/>
        <v>0</v>
      </c>
      <c r="E19" s="4">
        <f t="shared" si="2"/>
        <v>0</v>
      </c>
      <c r="F19" s="4">
        <f t="shared" si="2"/>
        <v>0</v>
      </c>
      <c r="G19" s="4">
        <f t="shared" si="2"/>
        <v>0</v>
      </c>
      <c r="H19" s="4">
        <f t="shared" si="2"/>
        <v>0</v>
      </c>
      <c r="I19" s="4">
        <f t="shared" si="2"/>
        <v>0</v>
      </c>
    </row>
    <row r="20" spans="1:9">
      <c r="A20" s="2"/>
      <c r="B20" s="4">
        <f>IF(Resumo!$B$5="Detalhada",SUMIF('AFP - Detalhada'!$E$10:$E$192,Esforço!A20,'AFP - Detalhada'!$S$10:$S$192),IF(Resumo!B20="Estimativa",SUMIF('AFP - Estimativa'!$E$10:$E$383,Esforço!A20,'AFP - Estimativa'!$J$10:$J$383)*(1+'AFP - Estimativa'!$C$6),IF(Resumo!B20="Indicativa",SUMIF('AFP - Indicativa'!$C$10:$C$108,Esforço!A20,'AFP - Indicativa'!$G$10:$G$108)*(1+'AFP - Indicativa'!$C$6),0)))</f>
        <v>0</v>
      </c>
      <c r="C20" s="4">
        <f t="shared" si="0"/>
        <v>0</v>
      </c>
      <c r="D20" s="4">
        <f t="shared" si="2"/>
        <v>0</v>
      </c>
      <c r="E20" s="4">
        <f t="shared" si="2"/>
        <v>0</v>
      </c>
      <c r="F20" s="4">
        <f t="shared" si="2"/>
        <v>0</v>
      </c>
      <c r="G20" s="4">
        <f t="shared" si="2"/>
        <v>0</v>
      </c>
      <c r="H20" s="4">
        <f t="shared" si="2"/>
        <v>0</v>
      </c>
      <c r="I20" s="4">
        <f t="shared" si="2"/>
        <v>0</v>
      </c>
    </row>
    <row r="21" spans="1:9">
      <c r="A21" s="2"/>
      <c r="B21" s="4">
        <f>IF(Resumo!$B$5="Detalhada",SUMIF('AFP - Detalhada'!$E$10:$E$192,Esforço!A21,'AFP - Detalhada'!$S$10:$S$192),IF(Resumo!B21="Estimativa",SUMIF('AFP - Estimativa'!$E$10:$E$383,Esforço!A21,'AFP - Estimativa'!$J$10:$J$383)*(1+'AFP - Estimativa'!$C$6),IF(Resumo!B21="Indicativa",SUMIF('AFP - Indicativa'!$C$10:$C$108,Esforço!A21,'AFP - Indicativa'!$G$10:$G$108)*(1+'AFP - Indicativa'!$C$6),0)))</f>
        <v>0</v>
      </c>
      <c r="C21" s="4">
        <f t="shared" si="0"/>
        <v>0</v>
      </c>
      <c r="D21" s="4">
        <f t="shared" si="2"/>
        <v>0</v>
      </c>
      <c r="E21" s="4">
        <f t="shared" si="2"/>
        <v>0</v>
      </c>
      <c r="F21" s="4">
        <f t="shared" si="2"/>
        <v>0</v>
      </c>
      <c r="G21" s="4">
        <f t="shared" si="2"/>
        <v>0</v>
      </c>
      <c r="H21" s="4">
        <f t="shared" si="2"/>
        <v>0</v>
      </c>
      <c r="I21" s="4">
        <f t="shared" si="2"/>
        <v>0</v>
      </c>
    </row>
    <row r="22" spans="1:9">
      <c r="A22" s="2"/>
      <c r="B22" s="4">
        <f>IF(Resumo!$B$5="Detalhada",SUMIF('AFP - Detalhada'!$E$10:$E$192,Esforço!A22,'AFP - Detalhada'!$S$10:$S$192),IF(Resumo!B24="Estimativa",SUMIF('AFP - Estimativa'!$E$10:$E$383,Esforço!A22,'AFP - Estimativa'!$J$10:$J$383)*(1+'AFP - Estimativa'!$C$6),IF(Resumo!B24="Indicativa",SUMIF('AFP - Indicativa'!$C$10:$C$108,Esforço!A22,'AFP - Indicativa'!$G$10:$G$108)*(1+'AFP - Indicativa'!$C$6),0)))</f>
        <v>0</v>
      </c>
      <c r="C22" s="4">
        <f t="shared" si="0"/>
        <v>0</v>
      </c>
      <c r="D22" s="4">
        <f t="shared" si="2"/>
        <v>0</v>
      </c>
      <c r="E22" s="4">
        <f t="shared" si="2"/>
        <v>0</v>
      </c>
      <c r="F22" s="4">
        <f t="shared" si="2"/>
        <v>0</v>
      </c>
      <c r="G22" s="4">
        <f t="shared" si="2"/>
        <v>0</v>
      </c>
      <c r="H22" s="4">
        <f t="shared" si="2"/>
        <v>0</v>
      </c>
      <c r="I22" s="4">
        <f t="shared" si="2"/>
        <v>0</v>
      </c>
    </row>
    <row r="23" spans="1:9">
      <c r="A23" s="2"/>
      <c r="B23" s="4">
        <f>IF(Resumo!$B$5="Detalhada",SUMIF('AFP - Detalhada'!$E$10:$E$192,Esforço!A23,'AFP - Detalhada'!$S$10:$S$192),IF(Resumo!B25="Estimativa",SUMIF('AFP - Estimativa'!$E$10:$E$383,Esforço!A23,'AFP - Estimativa'!$J$10:$J$383)*(1+'AFP - Estimativa'!$C$6),IF(Resumo!B25="Indicativa",SUMIF('AFP - Indicativa'!$C$10:$C$108,Esforço!A23,'AFP - Indicativa'!$G$10:$G$108)*(1+'AFP - Indicativa'!$C$6),0)))</f>
        <v>0</v>
      </c>
      <c r="C23" s="4">
        <f t="shared" si="0"/>
        <v>0</v>
      </c>
      <c r="D23" s="4">
        <f t="shared" si="2"/>
        <v>0</v>
      </c>
      <c r="E23" s="4">
        <f t="shared" si="2"/>
        <v>0</v>
      </c>
      <c r="F23" s="4">
        <f t="shared" si="2"/>
        <v>0</v>
      </c>
      <c r="G23" s="4">
        <f t="shared" si="2"/>
        <v>0</v>
      </c>
      <c r="H23" s="4">
        <f t="shared" si="2"/>
        <v>0</v>
      </c>
      <c r="I23" s="4">
        <f t="shared" si="2"/>
        <v>0</v>
      </c>
    </row>
    <row r="24" spans="1:9" ht="14">
      <c r="A24" s="15" t="s">
        <v>173</v>
      </c>
      <c r="B24" s="12">
        <f>SUM(B6:B23)</f>
        <v>0</v>
      </c>
      <c r="C24" s="12">
        <f>SUM(C6:C23)</f>
        <v>0</v>
      </c>
      <c r="D24" s="12">
        <f>SUM(D6:D23)</f>
        <v>0</v>
      </c>
      <c r="E24" s="12">
        <f>ROUND($C24*E$5,0)</f>
        <v>0</v>
      </c>
      <c r="F24" s="12">
        <f>SUM(F6:F23)</f>
        <v>0</v>
      </c>
      <c r="G24" s="12">
        <f>SUM(G6:G23)</f>
        <v>0</v>
      </c>
      <c r="H24" s="12">
        <f>SUM(H6:H23)</f>
        <v>0</v>
      </c>
      <c r="I24" s="12">
        <f>SUM(I6:I23)</f>
        <v>0</v>
      </c>
    </row>
  </sheetData>
  <mergeCells count="1">
    <mergeCell ref="C1:I1"/>
  </mergeCells>
  <pageMargins left="0.511811024" right="0.511811024" top="0.78740157499999996" bottom="0.78740157499999996" header="0.31496062000000002" footer="0.31496062000000002"/>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sheetPr>
  <dimension ref="A1:H344"/>
  <sheetViews>
    <sheetView zoomScaleNormal="100" workbookViewId="0">
      <selection activeCell="A38" sqref="A38:B38"/>
    </sheetView>
  </sheetViews>
  <sheetFormatPr baseColWidth="10" defaultColWidth="8.5" defaultRowHeight="14" customHeight="1"/>
  <cols>
    <col min="1" max="1" width="93.1640625" style="1" customWidth="1"/>
    <col min="2" max="2" width="16.1640625" style="1" customWidth="1"/>
    <col min="3" max="3" width="10.5" style="1" customWidth="1"/>
    <col min="4" max="4" width="35.1640625" style="180" customWidth="1"/>
    <col min="5" max="5" width="8.5" style="197" customWidth="1"/>
    <col min="6" max="6" width="8.1640625" style="197" customWidth="1"/>
    <col min="7" max="7" width="27.1640625" style="180" customWidth="1"/>
    <col min="8" max="8" width="45.1640625" style="180" customWidth="1"/>
    <col min="9" max="10" width="8.5" style="1" customWidth="1"/>
    <col min="11" max="16384" width="8.5" style="1"/>
  </cols>
  <sheetData>
    <row r="1" spans="1:8" ht="14" customHeight="1">
      <c r="A1" s="392" t="s">
        <v>183</v>
      </c>
      <c r="B1" s="296"/>
      <c r="D1" s="392" t="s">
        <v>29</v>
      </c>
      <c r="E1" s="295"/>
      <c r="F1" s="295"/>
      <c r="G1" s="295"/>
      <c r="H1" s="296"/>
    </row>
    <row r="2" spans="1:8" ht="14" customHeight="1">
      <c r="A2" s="178" t="s">
        <v>52</v>
      </c>
      <c r="B2" s="178" t="s">
        <v>184</v>
      </c>
      <c r="D2" s="192" t="s">
        <v>185</v>
      </c>
      <c r="E2" s="192" t="s">
        <v>186</v>
      </c>
      <c r="F2" s="192" t="s">
        <v>52</v>
      </c>
      <c r="G2" s="192" t="s">
        <v>187</v>
      </c>
      <c r="H2" s="192" t="s">
        <v>68</v>
      </c>
    </row>
    <row r="3" spans="1:8" ht="12.75" customHeight="1">
      <c r="A3" s="187" t="s">
        <v>73</v>
      </c>
      <c r="B3" s="177">
        <v>1</v>
      </c>
      <c r="D3" s="193"/>
      <c r="E3" s="194"/>
      <c r="F3" s="194"/>
      <c r="G3" s="193"/>
      <c r="H3" s="193"/>
    </row>
    <row r="4" spans="1:8" ht="12.75" customHeight="1">
      <c r="A4" s="187" t="s">
        <v>188</v>
      </c>
      <c r="B4" s="177">
        <v>0.5</v>
      </c>
      <c r="D4" s="193"/>
      <c r="E4" s="194"/>
      <c r="F4" s="194"/>
      <c r="G4" s="193"/>
      <c r="H4" s="193"/>
    </row>
    <row r="5" spans="1:8" ht="12.75" customHeight="1">
      <c r="A5" s="187" t="s">
        <v>189</v>
      </c>
      <c r="B5" s="177">
        <v>0.75</v>
      </c>
      <c r="D5" s="193"/>
      <c r="E5" s="194"/>
      <c r="F5" s="194"/>
      <c r="G5" s="193"/>
      <c r="H5" s="193"/>
    </row>
    <row r="6" spans="1:8" ht="12.75" customHeight="1">
      <c r="A6" s="187" t="s">
        <v>190</v>
      </c>
      <c r="B6" s="177">
        <v>0.9</v>
      </c>
      <c r="D6" s="193"/>
      <c r="E6" s="194"/>
      <c r="F6" s="194"/>
      <c r="G6" s="193"/>
      <c r="H6" s="193"/>
    </row>
    <row r="7" spans="1:8" ht="12.75" customHeight="1">
      <c r="A7" s="188" t="s">
        <v>191</v>
      </c>
      <c r="B7" s="177">
        <v>0.3</v>
      </c>
      <c r="D7" s="193"/>
      <c r="E7" s="194"/>
      <c r="F7" s="194"/>
      <c r="G7" s="193"/>
      <c r="H7" s="193"/>
    </row>
    <row r="8" spans="1:8" ht="12.75" customHeight="1">
      <c r="A8" s="188" t="s">
        <v>192</v>
      </c>
      <c r="B8" s="177">
        <v>0</v>
      </c>
      <c r="D8" s="193"/>
      <c r="E8" s="194"/>
      <c r="F8" s="194"/>
      <c r="G8" s="193"/>
      <c r="H8" s="193"/>
    </row>
    <row r="9" spans="1:8" ht="12.75" customHeight="1">
      <c r="A9" s="188" t="s">
        <v>193</v>
      </c>
      <c r="B9" s="177">
        <v>0.5</v>
      </c>
      <c r="D9" s="193"/>
      <c r="E9" s="194"/>
      <c r="F9" s="194"/>
      <c r="G9" s="193"/>
      <c r="H9" s="193"/>
    </row>
    <row r="10" spans="1:8" ht="12.75" customHeight="1">
      <c r="A10" s="188" t="s">
        <v>194</v>
      </c>
      <c r="B10" s="177">
        <v>1</v>
      </c>
      <c r="D10" s="193"/>
      <c r="E10" s="194"/>
      <c r="F10" s="194"/>
      <c r="G10" s="193"/>
      <c r="H10" s="193"/>
    </row>
    <row r="11" spans="1:8" ht="12.75" customHeight="1">
      <c r="A11" s="187" t="s">
        <v>195</v>
      </c>
      <c r="B11" s="177">
        <v>1</v>
      </c>
      <c r="D11" s="193"/>
      <c r="E11" s="194"/>
      <c r="F11" s="194"/>
      <c r="G11" s="193"/>
      <c r="H11" s="193"/>
    </row>
    <row r="12" spans="1:8" ht="12.75" customHeight="1">
      <c r="A12" s="187" t="s">
        <v>196</v>
      </c>
      <c r="B12" s="177">
        <v>1</v>
      </c>
      <c r="D12" s="193"/>
      <c r="E12" s="194"/>
      <c r="F12" s="194"/>
      <c r="G12" s="193"/>
      <c r="H12" s="193"/>
    </row>
    <row r="13" spans="1:8" ht="12.75" customHeight="1">
      <c r="A13" s="187" t="s">
        <v>197</v>
      </c>
      <c r="B13" s="177">
        <v>0.3</v>
      </c>
      <c r="D13" s="193"/>
      <c r="E13" s="194"/>
      <c r="F13" s="194"/>
      <c r="G13" s="193"/>
      <c r="H13" s="193"/>
    </row>
    <row r="14" spans="1:8" ht="12.75" customHeight="1">
      <c r="A14" s="187" t="s">
        <v>198</v>
      </c>
      <c r="B14" s="177">
        <v>0.3</v>
      </c>
      <c r="D14" s="193"/>
      <c r="E14" s="194"/>
      <c r="F14" s="194"/>
      <c r="G14" s="193"/>
      <c r="H14" s="193"/>
    </row>
    <row r="15" spans="1:8" ht="12.75" customHeight="1">
      <c r="A15" s="187" t="s">
        <v>199</v>
      </c>
      <c r="B15" s="177">
        <v>0.3</v>
      </c>
      <c r="D15" s="193"/>
      <c r="E15" s="194"/>
      <c r="F15" s="194"/>
      <c r="G15" s="193"/>
      <c r="H15" s="193"/>
    </row>
    <row r="16" spans="1:8" ht="12.75" customHeight="1">
      <c r="A16" s="187" t="s">
        <v>200</v>
      </c>
      <c r="B16" s="177">
        <v>0.3</v>
      </c>
      <c r="D16" s="193"/>
      <c r="E16" s="194"/>
      <c r="F16" s="194"/>
      <c r="G16" s="193"/>
      <c r="H16" s="193"/>
    </row>
    <row r="17" spans="1:8" ht="12.75" customHeight="1">
      <c r="A17" s="187" t="s">
        <v>201</v>
      </c>
      <c r="B17" s="177">
        <v>0.6</v>
      </c>
      <c r="D17" s="193"/>
      <c r="E17" s="194"/>
      <c r="F17" s="194"/>
      <c r="G17" s="193"/>
      <c r="H17" s="193"/>
    </row>
    <row r="18" spans="1:8" ht="12.75" customHeight="1">
      <c r="A18" s="187" t="s">
        <v>202</v>
      </c>
      <c r="B18" s="177">
        <v>0.5</v>
      </c>
      <c r="D18" s="193"/>
      <c r="E18" s="194"/>
      <c r="F18" s="194"/>
      <c r="G18" s="193"/>
      <c r="H18" s="193"/>
    </row>
    <row r="19" spans="1:8" ht="12.75" customHeight="1">
      <c r="A19" s="187" t="s">
        <v>203</v>
      </c>
      <c r="B19" s="177">
        <v>0.65</v>
      </c>
      <c r="D19" s="193"/>
      <c r="E19" s="194"/>
      <c r="F19" s="194"/>
      <c r="G19" s="193"/>
      <c r="H19" s="193"/>
    </row>
    <row r="20" spans="1:8" ht="12.75" customHeight="1">
      <c r="A20" s="187" t="s">
        <v>204</v>
      </c>
      <c r="B20" s="177">
        <v>0.75</v>
      </c>
      <c r="D20" s="193"/>
      <c r="E20" s="194"/>
      <c r="F20" s="194"/>
      <c r="G20" s="193"/>
      <c r="H20" s="193"/>
    </row>
    <row r="21" spans="1:8" ht="12.75" customHeight="1">
      <c r="A21" s="187" t="s">
        <v>205</v>
      </c>
      <c r="B21" s="177">
        <v>0.9</v>
      </c>
      <c r="D21" s="195"/>
      <c r="E21" s="196"/>
      <c r="F21" s="196"/>
      <c r="G21" s="195"/>
      <c r="H21" s="195"/>
    </row>
    <row r="22" spans="1:8" ht="12.75" customHeight="1">
      <c r="A22" s="187" t="s">
        <v>206</v>
      </c>
      <c r="B22" s="177">
        <v>1</v>
      </c>
      <c r="D22" s="195"/>
      <c r="E22" s="196"/>
      <c r="F22" s="196"/>
      <c r="G22" s="195"/>
      <c r="H22" s="195"/>
    </row>
    <row r="23" spans="1:8" ht="12.75" customHeight="1">
      <c r="A23" s="187" t="s">
        <v>207</v>
      </c>
      <c r="B23" s="177">
        <v>1</v>
      </c>
      <c r="D23" s="195"/>
      <c r="E23" s="196"/>
      <c r="F23" s="196"/>
      <c r="G23" s="195"/>
      <c r="H23" s="195"/>
    </row>
    <row r="24" spans="1:8" ht="12.75" customHeight="1">
      <c r="A24" s="187" t="s">
        <v>208</v>
      </c>
      <c r="B24" s="177">
        <v>0.6</v>
      </c>
      <c r="D24" s="195"/>
      <c r="E24" s="196"/>
      <c r="F24" s="196"/>
      <c r="G24" s="195"/>
      <c r="H24" s="195"/>
    </row>
    <row r="25" spans="1:8" ht="12.75" customHeight="1">
      <c r="A25" s="187" t="s">
        <v>209</v>
      </c>
      <c r="B25" s="177">
        <v>1</v>
      </c>
      <c r="D25" s="195"/>
      <c r="E25" s="196"/>
      <c r="F25" s="196"/>
      <c r="G25" s="195"/>
      <c r="H25" s="195"/>
    </row>
    <row r="26" spans="1:8" ht="12.75" customHeight="1">
      <c r="A26" s="187" t="s">
        <v>210</v>
      </c>
      <c r="B26" s="177">
        <v>0.1</v>
      </c>
      <c r="D26" s="195"/>
      <c r="E26" s="196"/>
      <c r="F26" s="196"/>
      <c r="G26" s="195"/>
      <c r="H26" s="195"/>
    </row>
    <row r="27" spans="1:8" ht="12.75" customHeight="1">
      <c r="A27" s="187" t="s">
        <v>211</v>
      </c>
      <c r="B27" s="177">
        <v>0.1</v>
      </c>
      <c r="D27" s="195"/>
      <c r="E27" s="196"/>
      <c r="F27" s="196"/>
      <c r="G27" s="195"/>
      <c r="H27" s="195"/>
    </row>
    <row r="28" spans="1:8" ht="12.75" customHeight="1">
      <c r="A28" s="187" t="s">
        <v>212</v>
      </c>
      <c r="B28" s="177">
        <v>0.6</v>
      </c>
      <c r="D28" s="195"/>
      <c r="E28" s="196"/>
      <c r="F28" s="196"/>
      <c r="G28" s="195"/>
      <c r="H28" s="195"/>
    </row>
    <row r="29" spans="1:8" ht="12.75" customHeight="1">
      <c r="A29" s="187" t="s">
        <v>213</v>
      </c>
      <c r="B29" s="177">
        <v>0.2</v>
      </c>
      <c r="D29" s="195"/>
      <c r="E29" s="196"/>
      <c r="F29" s="196"/>
      <c r="G29" s="195"/>
      <c r="H29" s="195"/>
    </row>
    <row r="30" spans="1:8" ht="12.75" customHeight="1">
      <c r="A30" s="187" t="s">
        <v>214</v>
      </c>
      <c r="B30" s="177">
        <v>0.15</v>
      </c>
      <c r="D30" s="195"/>
      <c r="E30" s="196"/>
      <c r="F30" s="196"/>
      <c r="G30" s="195"/>
      <c r="H30" s="195"/>
    </row>
    <row r="31" spans="1:8" ht="12.75" customHeight="1">
      <c r="A31" s="187" t="s">
        <v>215</v>
      </c>
      <c r="B31" s="177">
        <v>0.2</v>
      </c>
      <c r="D31" s="195"/>
      <c r="E31" s="196"/>
      <c r="F31" s="196"/>
      <c r="G31" s="195"/>
      <c r="H31" s="195"/>
    </row>
    <row r="32" spans="1:8" ht="12.75" customHeight="1">
      <c r="A32" s="187" t="s">
        <v>216</v>
      </c>
      <c r="B32" s="177">
        <v>0.5</v>
      </c>
      <c r="D32" s="195"/>
      <c r="E32" s="196"/>
      <c r="F32" s="196"/>
      <c r="G32" s="195"/>
      <c r="H32" s="195"/>
    </row>
    <row r="33" spans="1:8" ht="12.75" customHeight="1">
      <c r="A33" s="187" t="s">
        <v>217</v>
      </c>
      <c r="B33" s="177">
        <v>0.75</v>
      </c>
      <c r="D33" s="195"/>
      <c r="E33" s="196"/>
      <c r="F33" s="196"/>
      <c r="G33" s="195"/>
      <c r="H33" s="195"/>
    </row>
    <row r="34" spans="1:8" ht="12.75" customHeight="1">
      <c r="A34" s="187" t="s">
        <v>218</v>
      </c>
      <c r="B34" s="177">
        <v>0.9</v>
      </c>
      <c r="D34" s="195"/>
      <c r="E34" s="196"/>
      <c r="F34" s="196"/>
      <c r="G34" s="195"/>
      <c r="H34" s="195"/>
    </row>
    <row r="35" spans="1:8" ht="12.75" customHeight="1">
      <c r="A35" s="187" t="s">
        <v>219</v>
      </c>
      <c r="B35" s="177">
        <v>0.3</v>
      </c>
      <c r="D35" s="195"/>
      <c r="E35" s="196"/>
      <c r="F35" s="196"/>
      <c r="G35" s="195"/>
      <c r="H35" s="195"/>
    </row>
    <row r="36" spans="1:8" ht="12.75" customHeight="1">
      <c r="A36" s="187" t="s">
        <v>220</v>
      </c>
      <c r="B36" s="177">
        <v>0.2</v>
      </c>
      <c r="D36" s="195"/>
      <c r="E36" s="196"/>
      <c r="F36" s="196"/>
      <c r="G36" s="195"/>
      <c r="H36" s="195"/>
    </row>
    <row r="37" spans="1:8" ht="12.75" customHeight="1">
      <c r="A37" s="187" t="s">
        <v>221</v>
      </c>
      <c r="B37" s="177">
        <v>0.8</v>
      </c>
      <c r="D37" s="195"/>
      <c r="E37" s="196"/>
      <c r="F37" s="196"/>
      <c r="G37" s="195"/>
      <c r="H37" s="195"/>
    </row>
    <row r="38" spans="1:8" ht="12.75" customHeight="1">
      <c r="A38" s="187" t="s">
        <v>222</v>
      </c>
      <c r="B38" s="177">
        <v>0.4</v>
      </c>
      <c r="D38" s="195"/>
      <c r="E38" s="196"/>
      <c r="F38" s="196"/>
      <c r="G38" s="195"/>
      <c r="H38" s="195"/>
    </row>
    <row r="39" spans="1:8" ht="12.75" customHeight="1">
      <c r="A39" s="187"/>
      <c r="B39" s="177"/>
      <c r="D39" s="195"/>
      <c r="E39" s="196"/>
      <c r="F39" s="196"/>
      <c r="G39" s="195"/>
      <c r="H39" s="195"/>
    </row>
    <row r="40" spans="1:8" ht="12.75" customHeight="1">
      <c r="A40" s="187"/>
      <c r="B40" s="177"/>
      <c r="D40" s="195"/>
      <c r="E40" s="196"/>
      <c r="F40" s="196"/>
      <c r="G40" s="195"/>
      <c r="H40" s="195"/>
    </row>
    <row r="41" spans="1:8" ht="12.75" customHeight="1">
      <c r="A41" s="188"/>
      <c r="B41" s="177"/>
      <c r="D41" s="195"/>
      <c r="E41" s="196"/>
      <c r="F41" s="196"/>
      <c r="G41" s="195"/>
      <c r="H41" s="195"/>
    </row>
    <row r="42" spans="1:8" ht="12.75" customHeight="1">
      <c r="A42" s="188"/>
      <c r="B42" s="177"/>
      <c r="D42" s="195"/>
      <c r="E42" s="196"/>
      <c r="F42" s="196"/>
      <c r="G42" s="195"/>
      <c r="H42" s="195"/>
    </row>
    <row r="43" spans="1:8" ht="12.75" customHeight="1">
      <c r="A43" s="188"/>
      <c r="B43" s="177"/>
      <c r="D43" s="195"/>
      <c r="E43" s="196"/>
      <c r="F43" s="196"/>
      <c r="G43" s="195"/>
      <c r="H43" s="195"/>
    </row>
    <row r="44" spans="1:8" ht="12.75" customHeight="1">
      <c r="A44" s="188"/>
      <c r="B44" s="177"/>
      <c r="D44" s="195"/>
      <c r="E44" s="196"/>
      <c r="F44" s="196"/>
      <c r="G44" s="195"/>
      <c r="H44" s="195"/>
    </row>
    <row r="45" spans="1:8" ht="14" customHeight="1">
      <c r="A45" s="187"/>
      <c r="B45" s="177"/>
      <c r="D45" s="195"/>
      <c r="E45" s="196"/>
      <c r="F45" s="196"/>
      <c r="G45" s="195"/>
      <c r="H45" s="195"/>
    </row>
    <row r="46" spans="1:8" ht="14" customHeight="1">
      <c r="A46" s="187"/>
      <c r="B46" s="177"/>
      <c r="D46" s="195"/>
      <c r="E46" s="196"/>
      <c r="F46" s="196"/>
      <c r="G46" s="195"/>
      <c r="H46" s="195"/>
    </row>
    <row r="47" spans="1:8" ht="14" customHeight="1">
      <c r="A47" s="179"/>
      <c r="B47" s="177"/>
      <c r="D47" s="195"/>
      <c r="E47" s="196"/>
      <c r="F47" s="196"/>
      <c r="G47" s="195"/>
      <c r="H47" s="195"/>
    </row>
    <row r="48" spans="1:8" ht="14" customHeight="1">
      <c r="A48" s="179"/>
      <c r="B48" s="177"/>
      <c r="D48" s="195"/>
      <c r="E48" s="196"/>
      <c r="F48" s="196"/>
      <c r="G48" s="195"/>
      <c r="H48" s="195"/>
    </row>
    <row r="49" spans="1:8" ht="14" customHeight="1">
      <c r="A49" s="179"/>
      <c r="B49" s="177"/>
      <c r="D49" s="195"/>
      <c r="E49" s="196"/>
      <c r="F49" s="196"/>
      <c r="G49" s="195"/>
      <c r="H49" s="195"/>
    </row>
    <row r="50" spans="1:8" ht="14" customHeight="1">
      <c r="A50" s="179"/>
      <c r="B50" s="177"/>
      <c r="D50" s="195"/>
      <c r="E50" s="196"/>
      <c r="F50" s="196"/>
      <c r="G50" s="195"/>
      <c r="H50" s="195"/>
    </row>
    <row r="51" spans="1:8" ht="14" customHeight="1">
      <c r="A51" s="180"/>
      <c r="B51" s="177"/>
      <c r="D51" s="195"/>
      <c r="E51" s="196"/>
      <c r="F51" s="196"/>
      <c r="G51" s="195"/>
      <c r="H51" s="195"/>
    </row>
    <row r="52" spans="1:8" ht="14" customHeight="1">
      <c r="A52" s="180"/>
      <c r="B52" s="177"/>
      <c r="D52" s="195"/>
      <c r="E52" s="196"/>
      <c r="F52" s="196"/>
      <c r="G52" s="195"/>
      <c r="H52" s="195"/>
    </row>
    <row r="53" spans="1:8" ht="14" customHeight="1">
      <c r="A53" s="180"/>
      <c r="B53" s="177"/>
      <c r="D53" s="195"/>
      <c r="E53" s="196"/>
      <c r="F53" s="196"/>
      <c r="G53" s="195"/>
      <c r="H53" s="195"/>
    </row>
    <row r="54" spans="1:8" ht="14" customHeight="1">
      <c r="A54" s="180"/>
      <c r="B54" s="177"/>
      <c r="D54" s="195"/>
      <c r="E54" s="196"/>
      <c r="F54" s="196"/>
      <c r="G54" s="195"/>
      <c r="H54" s="195"/>
    </row>
    <row r="55" spans="1:8" ht="14" customHeight="1">
      <c r="A55" s="181"/>
      <c r="B55" s="177"/>
      <c r="D55" s="195"/>
      <c r="E55" s="196"/>
      <c r="F55" s="196"/>
      <c r="G55" s="195"/>
      <c r="H55" s="195"/>
    </row>
    <row r="56" spans="1:8" ht="14" customHeight="1">
      <c r="A56" s="181"/>
      <c r="B56" s="177"/>
      <c r="D56" s="195"/>
      <c r="E56" s="196"/>
      <c r="F56" s="196"/>
      <c r="G56" s="195"/>
      <c r="H56" s="195"/>
    </row>
    <row r="57" spans="1:8" ht="14" customHeight="1">
      <c r="A57" s="180"/>
      <c r="B57" s="180"/>
      <c r="D57" s="195"/>
      <c r="E57" s="196"/>
      <c r="F57" s="196"/>
      <c r="G57" s="195"/>
      <c r="H57" s="195"/>
    </row>
    <row r="58" spans="1:8" ht="14" customHeight="1">
      <c r="A58" s="180"/>
      <c r="B58" s="180"/>
      <c r="D58" s="195"/>
      <c r="E58" s="196"/>
      <c r="F58" s="196"/>
      <c r="G58" s="195"/>
      <c r="H58" s="195"/>
    </row>
    <row r="59" spans="1:8" ht="14" customHeight="1">
      <c r="A59" s="180"/>
      <c r="B59" s="180"/>
      <c r="D59" s="195"/>
      <c r="E59" s="196"/>
      <c r="F59" s="196"/>
      <c r="G59" s="195"/>
      <c r="H59" s="195"/>
    </row>
    <row r="60" spans="1:8" ht="14" customHeight="1">
      <c r="A60" s="180"/>
      <c r="B60" s="180"/>
      <c r="D60" s="195"/>
      <c r="E60" s="196"/>
      <c r="F60" s="196"/>
      <c r="G60" s="195"/>
      <c r="H60" s="195"/>
    </row>
    <row r="61" spans="1:8" ht="14" customHeight="1">
      <c r="A61" s="180"/>
      <c r="B61" s="180"/>
      <c r="D61" s="195"/>
      <c r="E61" s="196"/>
      <c r="F61" s="196"/>
      <c r="G61" s="195"/>
      <c r="H61" s="195"/>
    </row>
    <row r="62" spans="1:8" ht="14" customHeight="1">
      <c r="A62" s="180"/>
      <c r="B62" s="180"/>
      <c r="D62" s="195"/>
      <c r="E62" s="196"/>
      <c r="F62" s="196"/>
      <c r="G62" s="195"/>
      <c r="H62" s="195"/>
    </row>
    <row r="63" spans="1:8" ht="14" customHeight="1">
      <c r="A63" s="180"/>
      <c r="B63" s="180"/>
      <c r="D63" s="195"/>
      <c r="E63" s="196"/>
      <c r="F63" s="196"/>
      <c r="G63" s="195"/>
      <c r="H63" s="195"/>
    </row>
    <row r="64" spans="1:8" ht="14" customHeight="1">
      <c r="A64" s="180"/>
      <c r="B64" s="180"/>
      <c r="D64" s="195"/>
      <c r="E64" s="196"/>
      <c r="F64" s="196"/>
      <c r="G64" s="195"/>
      <c r="H64" s="195"/>
    </row>
    <row r="65" spans="1:8" ht="14" customHeight="1">
      <c r="A65" s="180"/>
      <c r="B65" s="180"/>
      <c r="D65" s="195"/>
      <c r="E65" s="196"/>
      <c r="F65" s="196"/>
      <c r="G65" s="195"/>
      <c r="H65" s="195"/>
    </row>
    <row r="66" spans="1:8" ht="14" customHeight="1">
      <c r="A66" s="180"/>
      <c r="B66" s="180"/>
      <c r="D66" s="195"/>
      <c r="E66" s="196"/>
      <c r="F66" s="196"/>
      <c r="G66" s="195"/>
      <c r="H66" s="195"/>
    </row>
    <row r="67" spans="1:8" ht="14" customHeight="1">
      <c r="A67" s="180"/>
      <c r="B67" s="180"/>
      <c r="D67" s="195"/>
      <c r="E67" s="196"/>
      <c r="F67" s="196"/>
      <c r="G67" s="195"/>
      <c r="H67" s="195"/>
    </row>
    <row r="68" spans="1:8" ht="14" customHeight="1">
      <c r="A68" s="180"/>
      <c r="B68" s="180"/>
      <c r="D68" s="195"/>
      <c r="E68" s="196"/>
      <c r="F68" s="196"/>
      <c r="G68" s="195"/>
      <c r="H68" s="195"/>
    </row>
    <row r="69" spans="1:8" ht="14" customHeight="1">
      <c r="A69" s="180"/>
      <c r="B69" s="180"/>
      <c r="D69" s="195"/>
      <c r="E69" s="196"/>
      <c r="F69" s="196"/>
      <c r="G69" s="195"/>
      <c r="H69" s="195"/>
    </row>
    <row r="70" spans="1:8" ht="14" customHeight="1">
      <c r="A70" s="180"/>
      <c r="B70" s="180"/>
      <c r="D70" s="195"/>
      <c r="E70" s="196"/>
      <c r="F70" s="196"/>
      <c r="G70" s="195"/>
      <c r="H70" s="195"/>
    </row>
    <row r="71" spans="1:8" ht="14" customHeight="1">
      <c r="A71" s="180"/>
      <c r="B71" s="180"/>
      <c r="D71" s="195"/>
      <c r="E71" s="196"/>
      <c r="F71" s="196"/>
      <c r="G71" s="195"/>
      <c r="H71" s="195"/>
    </row>
    <row r="72" spans="1:8" ht="14" customHeight="1">
      <c r="A72" s="180"/>
      <c r="B72" s="180"/>
      <c r="D72" s="195"/>
      <c r="E72" s="196"/>
      <c r="F72" s="196"/>
      <c r="G72" s="195"/>
      <c r="H72" s="195"/>
    </row>
    <row r="73" spans="1:8" ht="14" customHeight="1">
      <c r="A73" s="180"/>
      <c r="B73" s="180"/>
      <c r="D73" s="195"/>
      <c r="E73" s="196"/>
      <c r="F73" s="196"/>
      <c r="G73" s="195"/>
      <c r="H73" s="195"/>
    </row>
    <row r="74" spans="1:8" ht="14" customHeight="1">
      <c r="A74" s="180"/>
      <c r="B74" s="180"/>
      <c r="D74" s="195"/>
      <c r="E74" s="196"/>
      <c r="F74" s="196"/>
      <c r="G74" s="195"/>
      <c r="H74" s="195"/>
    </row>
    <row r="75" spans="1:8" ht="14" customHeight="1">
      <c r="A75" s="180"/>
      <c r="B75" s="180"/>
      <c r="D75" s="195"/>
      <c r="E75" s="196"/>
      <c r="F75" s="196"/>
      <c r="G75" s="195"/>
      <c r="H75" s="195"/>
    </row>
    <row r="76" spans="1:8" ht="14" customHeight="1">
      <c r="A76" s="180"/>
      <c r="B76" s="180"/>
      <c r="D76" s="195"/>
      <c r="E76" s="196"/>
      <c r="F76" s="196"/>
      <c r="G76" s="195"/>
      <c r="H76" s="195"/>
    </row>
    <row r="77" spans="1:8" ht="14" customHeight="1">
      <c r="A77" s="180"/>
      <c r="B77" s="180"/>
      <c r="D77" s="195"/>
      <c r="E77" s="196"/>
      <c r="F77" s="196"/>
      <c r="G77" s="195"/>
      <c r="H77" s="195"/>
    </row>
    <row r="78" spans="1:8" ht="14" customHeight="1">
      <c r="A78" s="180"/>
      <c r="B78" s="180"/>
      <c r="D78" s="195"/>
      <c r="E78" s="196"/>
      <c r="F78" s="196"/>
      <c r="G78" s="195"/>
      <c r="H78" s="195"/>
    </row>
    <row r="79" spans="1:8" ht="14" customHeight="1">
      <c r="A79" s="180"/>
      <c r="B79" s="180"/>
      <c r="D79" s="195"/>
      <c r="E79" s="196"/>
      <c r="F79" s="196"/>
      <c r="G79" s="195"/>
      <c r="H79" s="195"/>
    </row>
    <row r="80" spans="1:8" ht="14" customHeight="1">
      <c r="A80" s="180"/>
      <c r="B80" s="180"/>
      <c r="D80" s="195"/>
      <c r="E80" s="196"/>
      <c r="F80" s="196"/>
      <c r="G80" s="195"/>
      <c r="H80" s="195"/>
    </row>
    <row r="81" spans="1:8" ht="14" customHeight="1">
      <c r="A81" s="180"/>
      <c r="B81" s="180"/>
      <c r="D81" s="195"/>
      <c r="E81" s="196"/>
      <c r="F81" s="196"/>
      <c r="G81" s="195"/>
      <c r="H81" s="195"/>
    </row>
    <row r="82" spans="1:8" ht="14" customHeight="1">
      <c r="A82" s="180"/>
      <c r="B82" s="180"/>
      <c r="D82" s="195"/>
      <c r="E82" s="196"/>
      <c r="F82" s="196"/>
      <c r="G82" s="195"/>
      <c r="H82" s="195"/>
    </row>
    <row r="83" spans="1:8" ht="14" customHeight="1">
      <c r="A83" s="180"/>
      <c r="B83" s="180"/>
      <c r="D83" s="195"/>
      <c r="E83" s="196"/>
      <c r="F83" s="196"/>
      <c r="G83" s="195"/>
      <c r="H83" s="195"/>
    </row>
    <row r="84" spans="1:8" ht="14" customHeight="1">
      <c r="A84" s="180"/>
      <c r="B84" s="180"/>
      <c r="D84" s="195"/>
      <c r="E84" s="196"/>
      <c r="F84" s="196"/>
      <c r="G84" s="195"/>
      <c r="H84" s="195"/>
    </row>
    <row r="85" spans="1:8" ht="14" customHeight="1">
      <c r="A85" s="180"/>
      <c r="B85" s="180"/>
      <c r="D85" s="195"/>
      <c r="E85" s="196"/>
      <c r="F85" s="196"/>
      <c r="G85" s="195"/>
      <c r="H85" s="195"/>
    </row>
    <row r="86" spans="1:8" ht="14" customHeight="1">
      <c r="A86" s="180"/>
      <c r="B86" s="180"/>
      <c r="D86" s="195"/>
      <c r="E86" s="196"/>
      <c r="F86" s="196"/>
      <c r="G86" s="195"/>
      <c r="H86" s="195"/>
    </row>
    <row r="87" spans="1:8" ht="14" customHeight="1">
      <c r="A87" s="180"/>
      <c r="B87" s="180"/>
      <c r="D87" s="195"/>
      <c r="E87" s="196"/>
      <c r="F87" s="196"/>
      <c r="G87" s="195"/>
      <c r="H87" s="195"/>
    </row>
    <row r="88" spans="1:8" ht="14" customHeight="1">
      <c r="A88" s="180"/>
      <c r="B88" s="180"/>
      <c r="D88" s="195"/>
      <c r="E88" s="196"/>
      <c r="F88" s="196"/>
      <c r="G88" s="195"/>
      <c r="H88" s="195"/>
    </row>
    <row r="89" spans="1:8" ht="14" customHeight="1">
      <c r="A89" s="180"/>
      <c r="B89" s="180"/>
      <c r="D89" s="195"/>
      <c r="E89" s="196"/>
      <c r="F89" s="196"/>
      <c r="G89" s="195"/>
      <c r="H89" s="195"/>
    </row>
    <row r="90" spans="1:8" ht="14" customHeight="1">
      <c r="A90" s="180"/>
      <c r="B90" s="180"/>
      <c r="D90" s="195"/>
      <c r="E90" s="196"/>
      <c r="F90" s="196"/>
      <c r="G90" s="195"/>
      <c r="H90" s="195"/>
    </row>
    <row r="91" spans="1:8" ht="14" customHeight="1">
      <c r="A91" s="180"/>
      <c r="B91" s="180"/>
      <c r="D91" s="195"/>
      <c r="E91" s="196"/>
      <c r="F91" s="196"/>
      <c r="G91" s="195"/>
      <c r="H91" s="195"/>
    </row>
    <row r="92" spans="1:8" ht="14" customHeight="1">
      <c r="A92" s="180"/>
      <c r="B92" s="180"/>
      <c r="D92" s="195"/>
      <c r="E92" s="196"/>
      <c r="F92" s="196"/>
      <c r="G92" s="195"/>
      <c r="H92" s="195"/>
    </row>
    <row r="93" spans="1:8" ht="14" customHeight="1">
      <c r="A93" s="180"/>
      <c r="B93" s="180"/>
      <c r="D93" s="195"/>
      <c r="E93" s="196"/>
      <c r="F93" s="196"/>
      <c r="G93" s="195"/>
      <c r="H93" s="195"/>
    </row>
    <row r="94" spans="1:8" ht="14" customHeight="1">
      <c r="A94" s="180"/>
      <c r="B94" s="180"/>
      <c r="D94" s="195"/>
      <c r="E94" s="196"/>
      <c r="F94" s="196"/>
      <c r="G94" s="195"/>
      <c r="H94" s="195"/>
    </row>
    <row r="95" spans="1:8" ht="14" customHeight="1">
      <c r="A95" s="180"/>
      <c r="B95" s="180"/>
      <c r="D95" s="195"/>
      <c r="E95" s="196"/>
      <c r="F95" s="196"/>
      <c r="G95" s="195"/>
      <c r="H95" s="195"/>
    </row>
    <row r="96" spans="1:8" ht="14" customHeight="1">
      <c r="A96" s="180"/>
      <c r="B96" s="180"/>
      <c r="D96" s="195"/>
      <c r="E96" s="196"/>
      <c r="F96" s="196"/>
      <c r="G96" s="195"/>
      <c r="H96" s="195"/>
    </row>
    <row r="97" spans="1:8" ht="14" customHeight="1">
      <c r="A97" s="180"/>
      <c r="B97" s="180"/>
      <c r="D97" s="195"/>
      <c r="E97" s="196"/>
      <c r="F97" s="196"/>
      <c r="G97" s="195"/>
      <c r="H97" s="195"/>
    </row>
    <row r="98" spans="1:8" ht="14" customHeight="1">
      <c r="A98" s="180"/>
      <c r="B98" s="180"/>
      <c r="D98" s="195"/>
      <c r="E98" s="196"/>
      <c r="F98" s="196"/>
      <c r="G98" s="195"/>
      <c r="H98" s="195"/>
    </row>
    <row r="99" spans="1:8" ht="14" customHeight="1">
      <c r="A99" s="180"/>
      <c r="B99" s="180"/>
      <c r="D99" s="195"/>
      <c r="E99" s="196"/>
      <c r="F99" s="196"/>
      <c r="G99" s="195"/>
      <c r="H99" s="195"/>
    </row>
    <row r="100" spans="1:8" ht="14" customHeight="1">
      <c r="A100" s="180"/>
      <c r="B100" s="180"/>
      <c r="D100" s="195"/>
      <c r="E100" s="196"/>
      <c r="F100" s="196"/>
      <c r="G100" s="195"/>
      <c r="H100" s="195"/>
    </row>
    <row r="101" spans="1:8" ht="14" customHeight="1">
      <c r="A101" s="180"/>
      <c r="B101" s="180"/>
      <c r="D101" s="195"/>
      <c r="E101" s="196"/>
      <c r="F101" s="196"/>
      <c r="G101" s="195"/>
      <c r="H101" s="195"/>
    </row>
    <row r="102" spans="1:8" ht="14" customHeight="1">
      <c r="A102" s="180"/>
      <c r="B102" s="180"/>
      <c r="D102" s="195"/>
      <c r="E102" s="196"/>
      <c r="F102" s="196"/>
      <c r="G102" s="195"/>
      <c r="H102" s="195"/>
    </row>
    <row r="103" spans="1:8" ht="14" customHeight="1">
      <c r="A103" s="180"/>
      <c r="B103" s="180"/>
      <c r="D103" s="195"/>
      <c r="E103" s="196"/>
      <c r="F103" s="196"/>
      <c r="G103" s="195"/>
      <c r="H103" s="195"/>
    </row>
    <row r="104" spans="1:8" ht="14" customHeight="1">
      <c r="A104" s="180"/>
      <c r="B104" s="180"/>
      <c r="D104" s="195"/>
      <c r="E104" s="196"/>
      <c r="F104" s="196"/>
      <c r="G104" s="195"/>
      <c r="H104" s="195"/>
    </row>
    <row r="105" spans="1:8" ht="14" customHeight="1">
      <c r="A105" s="180"/>
      <c r="B105" s="180"/>
      <c r="D105" s="195"/>
      <c r="E105" s="196"/>
      <c r="F105" s="196"/>
      <c r="G105" s="195"/>
      <c r="H105" s="195"/>
    </row>
    <row r="106" spans="1:8" ht="14" customHeight="1">
      <c r="A106" s="180"/>
      <c r="B106" s="180"/>
      <c r="D106" s="195"/>
      <c r="E106" s="196"/>
      <c r="F106" s="196"/>
      <c r="G106" s="195"/>
      <c r="H106" s="195"/>
    </row>
    <row r="107" spans="1:8" ht="14" customHeight="1">
      <c r="A107" s="180"/>
      <c r="B107" s="180"/>
      <c r="D107" s="195"/>
      <c r="E107" s="196"/>
      <c r="F107" s="196"/>
      <c r="G107" s="195"/>
      <c r="H107" s="195"/>
    </row>
    <row r="108" spans="1:8" ht="14" customHeight="1">
      <c r="A108" s="180"/>
      <c r="B108" s="180"/>
      <c r="D108" s="195"/>
      <c r="E108" s="196"/>
      <c r="F108" s="196"/>
      <c r="G108" s="195"/>
      <c r="H108" s="195"/>
    </row>
    <row r="109" spans="1:8" ht="14" customHeight="1">
      <c r="A109" s="180"/>
      <c r="B109" s="180"/>
      <c r="D109" s="195"/>
      <c r="E109" s="196"/>
      <c r="F109" s="196"/>
      <c r="G109" s="195"/>
      <c r="H109" s="195"/>
    </row>
    <row r="110" spans="1:8" ht="14" customHeight="1">
      <c r="D110" s="195"/>
      <c r="E110" s="196"/>
      <c r="F110" s="196"/>
      <c r="G110" s="195"/>
      <c r="H110" s="195"/>
    </row>
    <row r="111" spans="1:8" ht="14" customHeight="1">
      <c r="D111" s="195"/>
      <c r="E111" s="196"/>
      <c r="F111" s="196"/>
      <c r="G111" s="195"/>
      <c r="H111" s="195"/>
    </row>
    <row r="157" spans="3:3" ht="14" customHeight="1">
      <c r="C157" s="182"/>
    </row>
    <row r="158" spans="3:3" ht="14" customHeight="1">
      <c r="C158" s="182"/>
    </row>
    <row r="159" spans="3:3" ht="14" customHeight="1">
      <c r="C159" s="182"/>
    </row>
    <row r="160" spans="3:3" ht="14" customHeight="1">
      <c r="C160" s="182"/>
    </row>
    <row r="161" spans="3:3" ht="14" customHeight="1">
      <c r="C161" s="182"/>
    </row>
    <row r="162" spans="3:3" ht="14" customHeight="1">
      <c r="C162" s="182"/>
    </row>
    <row r="163" spans="3:3" ht="14" customHeight="1">
      <c r="C163" s="182"/>
    </row>
    <row r="164" spans="3:3" ht="14" customHeight="1">
      <c r="C164" s="182"/>
    </row>
    <row r="165" spans="3:3" ht="14" customHeight="1">
      <c r="C165" s="182"/>
    </row>
    <row r="166" spans="3:3" ht="14" customHeight="1">
      <c r="C166" s="182"/>
    </row>
    <row r="167" spans="3:3" ht="14" customHeight="1">
      <c r="C167" s="182"/>
    </row>
    <row r="168" spans="3:3" ht="14" customHeight="1">
      <c r="C168" s="182"/>
    </row>
    <row r="169" spans="3:3" ht="14" customHeight="1">
      <c r="C169" s="182"/>
    </row>
    <row r="170" spans="3:3" ht="14" customHeight="1">
      <c r="C170" s="182"/>
    </row>
    <row r="171" spans="3:3" ht="14" customHeight="1">
      <c r="C171" s="182"/>
    </row>
    <row r="172" spans="3:3" ht="14" customHeight="1">
      <c r="C172" s="182"/>
    </row>
    <row r="173" spans="3:3" ht="14" customHeight="1">
      <c r="C173" s="182"/>
    </row>
    <row r="174" spans="3:3" ht="14" customHeight="1">
      <c r="C174" s="182"/>
    </row>
    <row r="175" spans="3:3" ht="14" customHeight="1">
      <c r="C175" s="182"/>
    </row>
    <row r="176" spans="3:3" ht="14" customHeight="1">
      <c r="C176" s="182"/>
    </row>
    <row r="177" spans="3:3" ht="14" customHeight="1">
      <c r="C177" s="182"/>
    </row>
    <row r="178" spans="3:3" ht="14" customHeight="1">
      <c r="C178" s="182"/>
    </row>
    <row r="179" spans="3:3" ht="14" customHeight="1">
      <c r="C179" s="182"/>
    </row>
    <row r="180" spans="3:3" ht="14" customHeight="1">
      <c r="C180" s="182"/>
    </row>
    <row r="181" spans="3:3" ht="14" customHeight="1">
      <c r="C181" s="182"/>
    </row>
    <row r="182" spans="3:3" ht="14" customHeight="1">
      <c r="C182" s="182"/>
    </row>
    <row r="183" spans="3:3" ht="14" customHeight="1">
      <c r="C183" s="182"/>
    </row>
    <row r="184" spans="3:3" ht="14" customHeight="1">
      <c r="C184" s="182"/>
    </row>
    <row r="185" spans="3:3" ht="14" customHeight="1">
      <c r="C185" s="182"/>
    </row>
    <row r="186" spans="3:3" ht="14" customHeight="1">
      <c r="C186" s="182"/>
    </row>
    <row r="187" spans="3:3" ht="14" customHeight="1">
      <c r="C187" s="182"/>
    </row>
    <row r="188" spans="3:3" ht="14" customHeight="1">
      <c r="C188" s="182"/>
    </row>
    <row r="189" spans="3:3" ht="14" customHeight="1">
      <c r="C189" s="182"/>
    </row>
    <row r="190" spans="3:3" ht="14" customHeight="1">
      <c r="C190" s="182"/>
    </row>
    <row r="191" spans="3:3" ht="14" customHeight="1">
      <c r="C191" s="182"/>
    </row>
    <row r="192" spans="3:3" ht="14" customHeight="1">
      <c r="C192" s="182"/>
    </row>
    <row r="193" spans="3:3" ht="14" customHeight="1">
      <c r="C193" s="182"/>
    </row>
    <row r="194" spans="3:3" ht="14" customHeight="1">
      <c r="C194" s="182"/>
    </row>
    <row r="195" spans="3:3" ht="14" customHeight="1">
      <c r="C195" s="182"/>
    </row>
    <row r="196" spans="3:3" ht="14" customHeight="1">
      <c r="C196" s="182"/>
    </row>
    <row r="197" spans="3:3" ht="14" customHeight="1">
      <c r="C197" s="182"/>
    </row>
    <row r="198" spans="3:3" ht="14" customHeight="1">
      <c r="C198" s="182"/>
    </row>
    <row r="199" spans="3:3" ht="14" customHeight="1">
      <c r="C199" s="182"/>
    </row>
    <row r="200" spans="3:3" ht="14" customHeight="1">
      <c r="C200" s="182"/>
    </row>
    <row r="201" spans="3:3" ht="14" customHeight="1">
      <c r="C201" s="182"/>
    </row>
    <row r="202" spans="3:3" ht="14" customHeight="1">
      <c r="C202" s="182"/>
    </row>
    <row r="203" spans="3:3" ht="14" customHeight="1">
      <c r="C203" s="182"/>
    </row>
    <row r="204" spans="3:3" ht="14" customHeight="1">
      <c r="C204" s="182"/>
    </row>
    <row r="205" spans="3:3" ht="14" customHeight="1">
      <c r="C205" s="182"/>
    </row>
    <row r="206" spans="3:3" ht="14" customHeight="1">
      <c r="C206" s="182"/>
    </row>
    <row r="207" spans="3:3" ht="14" customHeight="1">
      <c r="C207" s="182"/>
    </row>
    <row r="208" spans="3:3" ht="14" customHeight="1">
      <c r="C208" s="182"/>
    </row>
    <row r="209" spans="3:3" ht="14" customHeight="1">
      <c r="C209" s="182"/>
    </row>
    <row r="210" spans="3:3" ht="14" customHeight="1">
      <c r="C210" s="182"/>
    </row>
    <row r="211" spans="3:3" ht="14" customHeight="1">
      <c r="C211" s="182"/>
    </row>
    <row r="212" spans="3:3" ht="14" customHeight="1">
      <c r="C212" s="182"/>
    </row>
    <row r="213" spans="3:3" ht="14" customHeight="1">
      <c r="C213" s="182"/>
    </row>
    <row r="214" spans="3:3" ht="14" customHeight="1">
      <c r="C214" s="182"/>
    </row>
    <row r="215" spans="3:3" ht="14" customHeight="1">
      <c r="C215" s="182"/>
    </row>
    <row r="216" spans="3:3" ht="14" customHeight="1">
      <c r="C216" s="182"/>
    </row>
    <row r="217" spans="3:3" ht="14" customHeight="1">
      <c r="C217" s="182"/>
    </row>
    <row r="218" spans="3:3" ht="14" customHeight="1">
      <c r="C218" s="182"/>
    </row>
    <row r="219" spans="3:3" ht="14" customHeight="1">
      <c r="C219" s="182"/>
    </row>
    <row r="220" spans="3:3" ht="14" customHeight="1">
      <c r="C220" s="182"/>
    </row>
    <row r="221" spans="3:3" ht="14" customHeight="1">
      <c r="C221" s="182"/>
    </row>
    <row r="222" spans="3:3" ht="14" customHeight="1">
      <c r="C222" s="182"/>
    </row>
    <row r="223" spans="3:3" ht="14" customHeight="1">
      <c r="C223" s="182"/>
    </row>
    <row r="224" spans="3:3" ht="14" customHeight="1">
      <c r="C224" s="182"/>
    </row>
    <row r="225" spans="2:3" ht="14" customHeight="1">
      <c r="C225" s="182"/>
    </row>
    <row r="226" spans="2:3" ht="14" customHeight="1">
      <c r="C226" s="182"/>
    </row>
    <row r="227" spans="2:3" ht="14" customHeight="1">
      <c r="C227" s="182"/>
    </row>
    <row r="228" spans="2:3" ht="14" customHeight="1">
      <c r="C228" s="182"/>
    </row>
    <row r="229" spans="2:3" ht="14" customHeight="1">
      <c r="C229" s="182"/>
    </row>
    <row r="230" spans="2:3" ht="14" customHeight="1">
      <c r="B230" s="183"/>
      <c r="C230" s="182"/>
    </row>
    <row r="231" spans="2:3" ht="14" customHeight="1">
      <c r="B231" s="182"/>
      <c r="C231" s="182"/>
    </row>
    <row r="232" spans="2:3" ht="14" customHeight="1">
      <c r="B232" s="182"/>
      <c r="C232" s="182"/>
    </row>
    <row r="233" spans="2:3" ht="14" customHeight="1">
      <c r="B233" s="182"/>
      <c r="C233" s="182"/>
    </row>
    <row r="234" spans="2:3" ht="14" customHeight="1">
      <c r="B234" s="182"/>
      <c r="C234" s="182"/>
    </row>
    <row r="235" spans="2:3" ht="14" customHeight="1">
      <c r="B235" s="182"/>
      <c r="C235" s="182"/>
    </row>
    <row r="236" spans="2:3" ht="14" customHeight="1">
      <c r="B236" s="182"/>
      <c r="C236" s="182"/>
    </row>
    <row r="237" spans="2:3" ht="14" customHeight="1">
      <c r="B237" s="182"/>
      <c r="C237" s="182"/>
    </row>
    <row r="238" spans="2:3" ht="14" customHeight="1">
      <c r="B238" s="182"/>
      <c r="C238" s="182"/>
    </row>
    <row r="239" spans="2:3" ht="14" customHeight="1">
      <c r="B239" s="182"/>
      <c r="C239" s="182"/>
    </row>
    <row r="240" spans="2:3" ht="14" customHeight="1">
      <c r="B240" s="182"/>
      <c r="C240" s="182"/>
    </row>
    <row r="241" spans="2:3" ht="14" customHeight="1">
      <c r="B241" s="182"/>
      <c r="C241" s="182"/>
    </row>
    <row r="242" spans="2:3" ht="14" customHeight="1">
      <c r="B242" s="182"/>
      <c r="C242" s="182"/>
    </row>
    <row r="243" spans="2:3" ht="14" customHeight="1">
      <c r="B243" s="182"/>
      <c r="C243" s="182"/>
    </row>
    <row r="244" spans="2:3" ht="14" customHeight="1">
      <c r="B244" s="182"/>
      <c r="C244" s="182"/>
    </row>
    <row r="245" spans="2:3" ht="14" customHeight="1">
      <c r="B245" s="182"/>
      <c r="C245" s="182"/>
    </row>
    <row r="246" spans="2:3" ht="14" customHeight="1">
      <c r="B246" s="182"/>
      <c r="C246" s="182"/>
    </row>
    <row r="247" spans="2:3" ht="14" customHeight="1">
      <c r="B247" s="182"/>
      <c r="C247" s="182"/>
    </row>
    <row r="248" spans="2:3" ht="14" customHeight="1">
      <c r="B248" s="182"/>
      <c r="C248" s="182"/>
    </row>
    <row r="249" spans="2:3" ht="14" customHeight="1">
      <c r="B249" s="182"/>
      <c r="C249" s="182"/>
    </row>
    <row r="250" spans="2:3" ht="14" customHeight="1">
      <c r="B250" s="182"/>
      <c r="C250" s="182"/>
    </row>
    <row r="251" spans="2:3" ht="14" customHeight="1">
      <c r="B251" s="182"/>
      <c r="C251" s="182"/>
    </row>
    <row r="252" spans="2:3" ht="14" customHeight="1">
      <c r="B252" s="182"/>
      <c r="C252" s="182"/>
    </row>
    <row r="253" spans="2:3" ht="14" customHeight="1">
      <c r="B253" s="182"/>
      <c r="C253" s="182"/>
    </row>
    <row r="254" spans="2:3" ht="14" customHeight="1">
      <c r="B254" s="182"/>
      <c r="C254" s="182"/>
    </row>
    <row r="255" spans="2:3" ht="14" customHeight="1">
      <c r="B255" s="182"/>
      <c r="C255" s="182"/>
    </row>
    <row r="256" spans="2:3" ht="14" customHeight="1">
      <c r="B256" s="182"/>
      <c r="C256" s="182"/>
    </row>
    <row r="257" spans="2:3" ht="14" customHeight="1">
      <c r="B257" s="182"/>
      <c r="C257" s="182"/>
    </row>
    <row r="258" spans="2:3" ht="14" customHeight="1">
      <c r="B258" s="182"/>
      <c r="C258" s="182"/>
    </row>
    <row r="259" spans="2:3" ht="14" customHeight="1">
      <c r="B259" s="182"/>
      <c r="C259" s="182"/>
    </row>
    <row r="260" spans="2:3" ht="14" customHeight="1">
      <c r="B260" s="182"/>
      <c r="C260" s="182"/>
    </row>
    <row r="261" spans="2:3" ht="14" customHeight="1">
      <c r="B261" s="182"/>
      <c r="C261" s="182"/>
    </row>
    <row r="262" spans="2:3" ht="14" customHeight="1">
      <c r="B262" s="182"/>
      <c r="C262" s="182"/>
    </row>
    <row r="263" spans="2:3" ht="14" customHeight="1">
      <c r="B263" s="182"/>
      <c r="C263" s="182"/>
    </row>
    <row r="264" spans="2:3" ht="14" customHeight="1">
      <c r="B264" s="182"/>
      <c r="C264" s="182"/>
    </row>
    <row r="265" spans="2:3" ht="14" customHeight="1">
      <c r="B265" s="182"/>
      <c r="C265" s="182"/>
    </row>
    <row r="266" spans="2:3" ht="14" customHeight="1">
      <c r="B266" s="182"/>
      <c r="C266" s="182"/>
    </row>
    <row r="267" spans="2:3" ht="14" customHeight="1">
      <c r="B267" s="182"/>
      <c r="C267" s="182"/>
    </row>
    <row r="268" spans="2:3" ht="14" customHeight="1">
      <c r="B268" s="182"/>
      <c r="C268" s="182"/>
    </row>
    <row r="269" spans="2:3" ht="14" customHeight="1">
      <c r="B269" s="182"/>
      <c r="C269" s="182"/>
    </row>
    <row r="270" spans="2:3" ht="14" customHeight="1">
      <c r="B270" s="182"/>
      <c r="C270" s="182"/>
    </row>
    <row r="271" spans="2:3" ht="14" customHeight="1">
      <c r="B271" s="182"/>
    </row>
    <row r="272" spans="2:3" ht="14" customHeight="1">
      <c r="B272" s="182"/>
    </row>
    <row r="273" spans="2:2" ht="14" customHeight="1">
      <c r="B273" s="182"/>
    </row>
    <row r="274" spans="2:2" ht="14" customHeight="1">
      <c r="B274" s="182"/>
    </row>
    <row r="275" spans="2:2" ht="14" customHeight="1">
      <c r="B275" s="182"/>
    </row>
    <row r="276" spans="2:2" ht="14" customHeight="1">
      <c r="B276" s="182"/>
    </row>
    <row r="277" spans="2:2" ht="14" customHeight="1">
      <c r="B277" s="182"/>
    </row>
    <row r="278" spans="2:2" ht="14" customHeight="1">
      <c r="B278" s="182"/>
    </row>
    <row r="279" spans="2:2" ht="14" customHeight="1">
      <c r="B279" s="182"/>
    </row>
    <row r="280" spans="2:2" ht="14" customHeight="1">
      <c r="B280" s="182"/>
    </row>
    <row r="281" spans="2:2" ht="14" customHeight="1">
      <c r="B281" s="182"/>
    </row>
    <row r="282" spans="2:2" ht="14" customHeight="1">
      <c r="B282" s="182"/>
    </row>
    <row r="283" spans="2:2" ht="14" customHeight="1">
      <c r="B283" s="182"/>
    </row>
    <row r="284" spans="2:2" ht="14" customHeight="1">
      <c r="B284" s="182"/>
    </row>
    <row r="285" spans="2:2" ht="14" customHeight="1">
      <c r="B285" s="182"/>
    </row>
    <row r="286" spans="2:2" ht="14" customHeight="1">
      <c r="B286" s="182"/>
    </row>
    <row r="287" spans="2:2" ht="14" customHeight="1">
      <c r="B287" s="182"/>
    </row>
    <row r="288" spans="2:2" ht="14" customHeight="1">
      <c r="B288" s="182"/>
    </row>
    <row r="289" spans="2:2" ht="14" customHeight="1">
      <c r="B289" s="182"/>
    </row>
    <row r="290" spans="2:2" ht="14" customHeight="1">
      <c r="B290" s="182"/>
    </row>
    <row r="291" spans="2:2" ht="14" customHeight="1">
      <c r="B291" s="182"/>
    </row>
    <row r="292" spans="2:2" ht="14" customHeight="1">
      <c r="B292" s="182"/>
    </row>
    <row r="293" spans="2:2" ht="14" customHeight="1">
      <c r="B293" s="182"/>
    </row>
    <row r="294" spans="2:2" ht="14" customHeight="1">
      <c r="B294" s="182"/>
    </row>
    <row r="295" spans="2:2" ht="14" customHeight="1">
      <c r="B295" s="182"/>
    </row>
    <row r="296" spans="2:2" ht="14" customHeight="1">
      <c r="B296" s="182"/>
    </row>
    <row r="297" spans="2:2" ht="14" customHeight="1">
      <c r="B297" s="182"/>
    </row>
    <row r="298" spans="2:2" ht="14" customHeight="1">
      <c r="B298" s="182"/>
    </row>
    <row r="299" spans="2:2" ht="14" customHeight="1">
      <c r="B299" s="182"/>
    </row>
    <row r="300" spans="2:2" ht="14" customHeight="1">
      <c r="B300" s="182"/>
    </row>
    <row r="301" spans="2:2" ht="14" customHeight="1">
      <c r="B301" s="182"/>
    </row>
    <row r="302" spans="2:2" ht="14" customHeight="1">
      <c r="B302" s="182"/>
    </row>
    <row r="303" spans="2:2" ht="14" customHeight="1">
      <c r="B303" s="182"/>
    </row>
    <row r="304" spans="2:2" ht="14" customHeight="1">
      <c r="B304" s="182"/>
    </row>
    <row r="305" spans="2:2" ht="14" customHeight="1">
      <c r="B305" s="182"/>
    </row>
    <row r="306" spans="2:2" ht="14" customHeight="1">
      <c r="B306" s="182"/>
    </row>
    <row r="307" spans="2:2" ht="14" customHeight="1">
      <c r="B307" s="182"/>
    </row>
    <row r="308" spans="2:2" ht="14" customHeight="1">
      <c r="B308" s="182"/>
    </row>
    <row r="309" spans="2:2" ht="14" customHeight="1">
      <c r="B309" s="182"/>
    </row>
    <row r="310" spans="2:2" ht="14" customHeight="1">
      <c r="B310" s="182"/>
    </row>
    <row r="311" spans="2:2" ht="14" customHeight="1">
      <c r="B311" s="182"/>
    </row>
    <row r="312" spans="2:2" ht="14" customHeight="1">
      <c r="B312" s="182"/>
    </row>
    <row r="313" spans="2:2" ht="14" customHeight="1">
      <c r="B313" s="182"/>
    </row>
    <row r="314" spans="2:2" ht="14" customHeight="1">
      <c r="B314" s="182"/>
    </row>
    <row r="315" spans="2:2" ht="14" customHeight="1">
      <c r="B315" s="182"/>
    </row>
    <row r="316" spans="2:2" ht="14" customHeight="1">
      <c r="B316" s="182"/>
    </row>
    <row r="317" spans="2:2" ht="14" customHeight="1">
      <c r="B317" s="182"/>
    </row>
    <row r="318" spans="2:2" ht="14" customHeight="1">
      <c r="B318" s="182"/>
    </row>
    <row r="319" spans="2:2" ht="14" customHeight="1">
      <c r="B319" s="182"/>
    </row>
    <row r="320" spans="2:2" ht="14" customHeight="1">
      <c r="B320" s="182"/>
    </row>
    <row r="321" spans="2:2" ht="14" customHeight="1">
      <c r="B321" s="182"/>
    </row>
    <row r="322" spans="2:2" ht="14" customHeight="1">
      <c r="B322" s="182"/>
    </row>
    <row r="323" spans="2:2" ht="14" customHeight="1">
      <c r="B323" s="182"/>
    </row>
    <row r="324" spans="2:2" ht="14" customHeight="1">
      <c r="B324" s="182"/>
    </row>
    <row r="325" spans="2:2" ht="14" customHeight="1">
      <c r="B325" s="182"/>
    </row>
    <row r="326" spans="2:2" ht="14" customHeight="1">
      <c r="B326" s="182"/>
    </row>
    <row r="327" spans="2:2" ht="14" customHeight="1">
      <c r="B327" s="182"/>
    </row>
    <row r="328" spans="2:2" ht="14" customHeight="1">
      <c r="B328" s="182"/>
    </row>
    <row r="329" spans="2:2" ht="14" customHeight="1">
      <c r="B329" s="182"/>
    </row>
    <row r="330" spans="2:2" ht="14" customHeight="1">
      <c r="B330" s="182"/>
    </row>
    <row r="331" spans="2:2" ht="14" customHeight="1">
      <c r="B331" s="182"/>
    </row>
    <row r="332" spans="2:2" ht="14" customHeight="1">
      <c r="B332" s="182"/>
    </row>
    <row r="333" spans="2:2" ht="14" customHeight="1">
      <c r="B333" s="182"/>
    </row>
    <row r="334" spans="2:2" ht="14" customHeight="1">
      <c r="B334" s="182"/>
    </row>
    <row r="335" spans="2:2" ht="14" customHeight="1">
      <c r="B335" s="182"/>
    </row>
    <row r="336" spans="2:2" ht="14" customHeight="1">
      <c r="B336" s="182"/>
    </row>
    <row r="337" spans="2:2" ht="14" customHeight="1">
      <c r="B337" s="182"/>
    </row>
    <row r="338" spans="2:2" ht="14" customHeight="1">
      <c r="B338" s="182"/>
    </row>
    <row r="339" spans="2:2" ht="14" customHeight="1">
      <c r="B339" s="182"/>
    </row>
    <row r="340" spans="2:2" ht="14" customHeight="1">
      <c r="B340" s="182"/>
    </row>
    <row r="341" spans="2:2" ht="14" customHeight="1">
      <c r="B341" s="182"/>
    </row>
    <row r="342" spans="2:2" ht="14" customHeight="1">
      <c r="B342" s="182"/>
    </row>
    <row r="343" spans="2:2" ht="14" customHeight="1">
      <c r="B343" s="182"/>
    </row>
    <row r="344" spans="2:2" ht="14" customHeight="1">
      <c r="B344" s="182"/>
    </row>
  </sheetData>
  <mergeCells count="2">
    <mergeCell ref="D1:H1"/>
    <mergeCell ref="A1:B1"/>
  </mergeCells>
  <pageMargins left="0.511811024" right="0.511811024" top="0.78740157499999996" bottom="0.78740157499999996" header="0.31496062000000002" footer="0.31496062000000002"/>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39997558519241921"/>
  </sheetPr>
  <dimension ref="A1:C8"/>
  <sheetViews>
    <sheetView workbookViewId="0">
      <selection activeCell="C2" sqref="C2:C8"/>
    </sheetView>
  </sheetViews>
  <sheetFormatPr baseColWidth="10" defaultColWidth="8.83203125" defaultRowHeight="13"/>
  <cols>
    <col min="1" max="1" width="35.1640625" bestFit="1" customWidth="1"/>
    <col min="2" max="2" width="71.1640625" style="17" bestFit="1" customWidth="1"/>
    <col min="3" max="3" width="9.5" bestFit="1" customWidth="1"/>
  </cols>
  <sheetData>
    <row r="1" spans="1:3" ht="14">
      <c r="A1" s="13" t="s">
        <v>223</v>
      </c>
      <c r="B1" s="16" t="s">
        <v>60</v>
      </c>
      <c r="C1" s="13" t="s">
        <v>224</v>
      </c>
    </row>
    <row r="2" spans="1:3" ht="14">
      <c r="A2" s="3" t="s">
        <v>225</v>
      </c>
      <c r="B2" s="5" t="s">
        <v>226</v>
      </c>
      <c r="C2" s="14">
        <v>0.33</v>
      </c>
    </row>
    <row r="3" spans="1:3" ht="25.5" customHeight="1">
      <c r="A3" s="5" t="s">
        <v>227</v>
      </c>
      <c r="B3" s="5"/>
      <c r="C3" s="14">
        <v>0.35</v>
      </c>
    </row>
    <row r="4" spans="1:3" ht="25.5" customHeight="1">
      <c r="A4" s="3" t="s">
        <v>132</v>
      </c>
      <c r="B4" s="5" t="s">
        <v>228</v>
      </c>
      <c r="C4" s="14">
        <v>0.36</v>
      </c>
    </row>
    <row r="5" spans="1:3" ht="14">
      <c r="A5" s="5" t="s">
        <v>229</v>
      </c>
      <c r="B5" s="5" t="s">
        <v>230</v>
      </c>
      <c r="C5" s="14">
        <v>0.37</v>
      </c>
    </row>
    <row r="6" spans="1:3" ht="14">
      <c r="A6" s="5" t="s">
        <v>231</v>
      </c>
      <c r="B6" s="5" t="s">
        <v>232</v>
      </c>
      <c r="C6" s="14">
        <v>0.39</v>
      </c>
    </row>
    <row r="7" spans="1:3" ht="25.5" customHeight="1">
      <c r="A7" s="5" t="s">
        <v>233</v>
      </c>
      <c r="B7" s="5"/>
      <c r="C7" s="14">
        <v>0.4</v>
      </c>
    </row>
    <row r="8" spans="1:3">
      <c r="A8" s="3" t="s">
        <v>234</v>
      </c>
      <c r="B8" s="5"/>
      <c r="C8" s="14">
        <v>0.45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12</vt:i4>
      </vt:variant>
      <vt:variant>
        <vt:lpstr>Intervalos Nomeados</vt:lpstr>
      </vt:variant>
      <vt:variant>
        <vt:i4>9</vt:i4>
      </vt:variant>
    </vt:vector>
  </HeadingPairs>
  <TitlesOfParts>
    <vt:vector size="21" baseType="lpstr">
      <vt:lpstr>Instrução de Uso</vt:lpstr>
      <vt:lpstr>Resumo</vt:lpstr>
      <vt:lpstr>AFP - Detalhada</vt:lpstr>
      <vt:lpstr>AFP - Estimativa</vt:lpstr>
      <vt:lpstr>AFP - INM</vt:lpstr>
      <vt:lpstr>UST</vt:lpstr>
      <vt:lpstr>AFP - Indicativa</vt:lpstr>
      <vt:lpstr>Fundamentação</vt:lpstr>
      <vt:lpstr>Redução de Prazo</vt:lpstr>
      <vt:lpstr>Esforço</vt:lpstr>
      <vt:lpstr>Tipo Projeto</vt:lpstr>
      <vt:lpstr>Tipo Sistema</vt:lpstr>
      <vt:lpstr>PF_INM</vt:lpstr>
      <vt:lpstr>PF_UST</vt:lpstr>
      <vt:lpstr>Tipo_Contagem</vt:lpstr>
      <vt:lpstr>TipoSistema</vt:lpstr>
      <vt:lpstr>'AFP - Detalhada'!Titulos_de_impressao</vt:lpstr>
      <vt:lpstr>'AFP - Estimativa'!Titulos_de_impressao</vt:lpstr>
      <vt:lpstr>'AFP - Indicativa'!Titulos_de_impressao</vt:lpstr>
      <vt:lpstr>'AFP - INM'!Titulos_de_impressao</vt:lpstr>
      <vt:lpstr>UST!Titulos_de_impressao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Indicação de Tamanho e Esforço de Software</dc:title>
  <dc:creator>Wilson</dc:creator>
  <cp:lastModifiedBy>Andro Marcio</cp:lastModifiedBy>
  <cp:lastPrinted>2012-02-01T18:39:25Z</cp:lastPrinted>
  <dcterms:created xsi:type="dcterms:W3CDTF">2002-03-25T11:25:06Z</dcterms:created>
  <dcterms:modified xsi:type="dcterms:W3CDTF">2026-08-25T13:04:44Z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b83b4b-2d54-414f-8077-da565f2c0ab9_Enabled">
    <vt:lpwstr>true</vt:lpwstr>
  </property>
  <property fmtid="{D5CDD505-2E9C-101B-9397-08002B2CF9AE}" pid="3" name="MSIP_Label_92b83b4b-2d54-414f-8077-da565f2c0ab9_SetDate">
    <vt:lpwstr>2023-08-23T23:04:14Z</vt:lpwstr>
  </property>
  <property fmtid="{D5CDD505-2E9C-101B-9397-08002B2CF9AE}" pid="4" name="MSIP_Label_92b83b4b-2d54-414f-8077-da565f2c0ab9_Method">
    <vt:lpwstr>Standard</vt:lpwstr>
  </property>
  <property fmtid="{D5CDD505-2E9C-101B-9397-08002B2CF9AE}" pid="5" name="MSIP_Label_92b83b4b-2d54-414f-8077-da565f2c0ab9_Name">
    <vt:lpwstr>92b83b4b-2d54-414f-8077-da565f2c0ab9</vt:lpwstr>
  </property>
  <property fmtid="{D5CDD505-2E9C-101B-9397-08002B2CF9AE}" pid="6" name="MSIP_Label_92b83b4b-2d54-414f-8077-da565f2c0ab9_SiteId">
    <vt:lpwstr>d8bde65a-3ded-4346-9518-670204e6e184</vt:lpwstr>
  </property>
  <property fmtid="{D5CDD505-2E9C-101B-9397-08002B2CF9AE}" pid="7" name="MSIP_Label_92b83b4b-2d54-414f-8077-da565f2c0ab9_ActionId">
    <vt:lpwstr>28d8605f-caf1-445e-8406-96bdb3959f8a</vt:lpwstr>
  </property>
  <property fmtid="{D5CDD505-2E9C-101B-9397-08002B2CF9AE}" pid="8" name="MSIP_Label_92b83b4b-2d54-414f-8077-da565f2c0ab9_ContentBits">
    <vt:lpwstr>0</vt:lpwstr>
  </property>
</Properties>
</file>